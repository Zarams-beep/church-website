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hidePivotFieldList="1"/>
  <mc:AlternateContent xmlns:mc="http://schemas.openxmlformats.org/markup-compatibility/2006">
    <mc:Choice Requires="x15">
      <x15ac:absPath xmlns:x15ac="http://schemas.microsoft.com/office/spreadsheetml/2010/11/ac" url="https://sohcahtoaholdings-my.sharepoint.com/personal/afolabi_azeez_sohcahtoalimited_com/Documents/"/>
    </mc:Choice>
  </mc:AlternateContent>
  <xr:revisionPtr revIDLastSave="192" documentId="13_ncr:1_{AD74628D-BE06-4FC1-BE04-2187DD70E9AC}" xr6:coauthVersionLast="47" xr6:coauthVersionMax="47" xr10:uidLastSave="{8BE88B77-40FA-4E2B-BFE9-9AF326F63723}"/>
  <bookViews>
    <workbookView xWindow="-108" yWindow="-108" windowWidth="23256" windowHeight="12456" xr2:uid="{00000000-000D-0000-FFFF-FFFF00000000}"/>
  </bookViews>
  <sheets>
    <sheet name="Sheet3" sheetId="3" r:id="rId1"/>
    <sheet name="Sheet1" sheetId="1" r:id="rId2"/>
  </sheets>
  <calcPr calcId="191028"/>
  <pivotCaches>
    <pivotCache cacheId="322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3" l="1"/>
  <c r="K6" i="3"/>
  <c r="K7" i="3"/>
  <c r="K4" i="3"/>
</calcChain>
</file>

<file path=xl/sharedStrings.xml><?xml version="1.0" encoding="utf-8"?>
<sst xmlns="http://schemas.openxmlformats.org/spreadsheetml/2006/main" count="75" uniqueCount="39">
  <si>
    <t>Row Labels</t>
  </si>
  <si>
    <t>Industry Experience and Fintech Expertise</t>
  </si>
  <si>
    <t>Strategic Branding Capabilities </t>
  </si>
  <si>
    <t>PR and Media Relations Expertise</t>
  </si>
  <si>
    <t>Digital Marketing and SEO Skills</t>
  </si>
  <si>
    <t>Compliance and Ethical Practices </t>
  </si>
  <si>
    <t>Creative and Content Development </t>
  </si>
  <si>
    <t>Presence and Awareness</t>
  </si>
  <si>
    <t>Local and Cultural Relevance </t>
  </si>
  <si>
    <t>Reputation and References </t>
  </si>
  <si>
    <t>Grand Total</t>
  </si>
  <si>
    <t>Feman Media Agency </t>
  </si>
  <si>
    <t>Kamili Capital </t>
  </si>
  <si>
    <t>Rossetta360</t>
  </si>
  <si>
    <t>Id</t>
  </si>
  <si>
    <t>Start time</t>
  </si>
  <si>
    <t>Completion time</t>
  </si>
  <si>
    <t>Email</t>
  </si>
  <si>
    <t>Name</t>
  </si>
  <si>
    <t>Which Brand are you evaluating </t>
  </si>
  <si>
    <t xml:space="preserve">Industry Experience and Fintech Expertise
Has the agency worked with financial services or BDC or fintech clients, particularly in Nigeria or Africa?
</t>
  </si>
  <si>
    <t xml:space="preserve">Strategic Branding Capabilities 
Do they offer competitor analysis to position us effectively?
</t>
  </si>
  <si>
    <t>PR and Media Relations Expertise
Do they have connections with Nigerian and international media outlets relevant to finance or BDC?
Do they have crisis communication strategies to handle negative pub</t>
  </si>
  <si>
    <t>Digital Marketing and SEO Skills
Can they optimize your website for local and global SEO to attract BDC clients?      
Do they offer social media marketing tailored to Nigeria’s audience (e.g., X, In</t>
  </si>
  <si>
    <t>Compliance and Ethical Practices 
Are their marketing practices compliant with NDPA 2023 for handling customer data in campaigns? 
Do they understand CBN’s advertising restrictions for BDCs (e.g., no</t>
  </si>
  <si>
    <t>Creative and Content Development 
Can they produce high-quality, finance-focused content (e.g., blog posts, videos, infographics) to educate clients?
Do they offer multilingual content for internati</t>
  </si>
  <si>
    <t>Presence and Awareness
What is their media presence?What is their following on Social media?</t>
  </si>
  <si>
    <t>Local and Cultural Relevance 
Do they understand Nigeria’s cultural and economic context for BDC marketing?</t>
  </si>
  <si>
    <t>Reputation and References 
Are they vast in the financial space?</t>
  </si>
  <si>
    <t>daramola.damilola@sohcahtoalimited.com</t>
  </si>
  <si>
    <t>Daramola Damilola</t>
  </si>
  <si>
    <t>temitope.aribisala@sohcahtoalimited.com</t>
  </si>
  <si>
    <t>Temitope Aribisala</t>
  </si>
  <si>
    <t>Ayotomi.ayodeji@sohcahtoalimited.com</t>
  </si>
  <si>
    <t>Ayotomi Ayodeji</t>
  </si>
  <si>
    <t>ayodele.olaniyi@sohcahtoalimited.com</t>
  </si>
  <si>
    <t>Ayodele Olaniyi</t>
  </si>
  <si>
    <t>Afolabi.azeez@sohcahtoalimited.com</t>
  </si>
  <si>
    <t>Azeez Afolabi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</si>
</sst>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[BRAND AND MEDIA RELATIONS EVALUATION 1.xlsx]Sheet3!PivotTable3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Industry Experience and Fintech Expertise</c:v>
                </c:pt>
              </c:strCache>
            </c:strRef>
          </c:tx>
          <c:spPr>
            <a:solidFill>
              <a:schemeClr val="accent1"/>
            </a:solidFill>
            <a:ln>
              <a:noFill/>
            </a:ln>
            <a:effectLst/>
          </c:spPr>
          <c:invertIfNegative val="0"/>
          <c:cat>
            <c:strRef>
              <c:f>Sheet3!$A$4:$A$7</c:f>
              <c:strCache>
                <c:ptCount val="3"/>
                <c:pt idx="0">
                  <c:v>Feman Media Agency </c:v>
                </c:pt>
                <c:pt idx="1">
                  <c:v>Kamili Capital </c:v>
                </c:pt>
                <c:pt idx="2">
                  <c:v>Rossetta360</c:v>
                </c:pt>
              </c:strCache>
            </c:strRef>
          </c:cat>
          <c:val>
            <c:numRef>
              <c:f>Sheet3!$B$4:$B$7</c:f>
              <c:numCache>
                <c:formatCode>General</c:formatCode>
                <c:ptCount val="3"/>
                <c:pt idx="0">
                  <c:v>26</c:v>
                </c:pt>
                <c:pt idx="1">
                  <c:v>38</c:v>
                </c:pt>
                <c:pt idx="2">
                  <c:v>35</c:v>
                </c:pt>
              </c:numCache>
            </c:numRef>
          </c:val>
          <c:extLst>
            <c:ext xmlns:c16="http://schemas.microsoft.com/office/drawing/2014/chart" uri="{C3380CC4-5D6E-409C-BE32-E72D297353CC}">
              <c16:uniqueId val="{00000000-7050-45B5-9B15-A33BE29ACF05}"/>
            </c:ext>
          </c:extLst>
        </c:ser>
        <c:ser>
          <c:idx val="1"/>
          <c:order val="1"/>
          <c:tx>
            <c:strRef>
              <c:f>Sheet3!$C$3</c:f>
              <c:strCache>
                <c:ptCount val="1"/>
                <c:pt idx="0">
                  <c:v>Strategic Branding Capabilities </c:v>
                </c:pt>
              </c:strCache>
            </c:strRef>
          </c:tx>
          <c:spPr>
            <a:solidFill>
              <a:schemeClr val="accent2"/>
            </a:solidFill>
            <a:ln>
              <a:noFill/>
            </a:ln>
            <a:effectLst/>
          </c:spPr>
          <c:invertIfNegative val="0"/>
          <c:cat>
            <c:strRef>
              <c:f>Sheet3!$A$4:$A$7</c:f>
              <c:strCache>
                <c:ptCount val="3"/>
                <c:pt idx="0">
                  <c:v>Feman Media Agency </c:v>
                </c:pt>
                <c:pt idx="1">
                  <c:v>Kamili Capital </c:v>
                </c:pt>
                <c:pt idx="2">
                  <c:v>Rossetta360</c:v>
                </c:pt>
              </c:strCache>
            </c:strRef>
          </c:cat>
          <c:val>
            <c:numRef>
              <c:f>Sheet3!$C$4:$C$7</c:f>
              <c:numCache>
                <c:formatCode>General</c:formatCode>
                <c:ptCount val="3"/>
                <c:pt idx="0">
                  <c:v>40</c:v>
                </c:pt>
                <c:pt idx="1">
                  <c:v>33</c:v>
                </c:pt>
                <c:pt idx="2">
                  <c:v>33</c:v>
                </c:pt>
              </c:numCache>
            </c:numRef>
          </c:val>
          <c:extLst>
            <c:ext xmlns:c16="http://schemas.microsoft.com/office/drawing/2014/chart" uri="{C3380CC4-5D6E-409C-BE32-E72D297353CC}">
              <c16:uniqueId val="{00000001-7050-45B5-9B15-A33BE29ACF05}"/>
            </c:ext>
          </c:extLst>
        </c:ser>
        <c:ser>
          <c:idx val="2"/>
          <c:order val="2"/>
          <c:tx>
            <c:strRef>
              <c:f>Sheet3!$D$3</c:f>
              <c:strCache>
                <c:ptCount val="1"/>
                <c:pt idx="0">
                  <c:v>PR and Media Relations Expertise</c:v>
                </c:pt>
              </c:strCache>
            </c:strRef>
          </c:tx>
          <c:spPr>
            <a:solidFill>
              <a:schemeClr val="accent3"/>
            </a:solidFill>
            <a:ln>
              <a:noFill/>
            </a:ln>
            <a:effectLst/>
          </c:spPr>
          <c:invertIfNegative val="0"/>
          <c:cat>
            <c:strRef>
              <c:f>Sheet3!$A$4:$A$7</c:f>
              <c:strCache>
                <c:ptCount val="3"/>
                <c:pt idx="0">
                  <c:v>Feman Media Agency </c:v>
                </c:pt>
                <c:pt idx="1">
                  <c:v>Kamili Capital </c:v>
                </c:pt>
                <c:pt idx="2">
                  <c:v>Rossetta360</c:v>
                </c:pt>
              </c:strCache>
            </c:strRef>
          </c:cat>
          <c:val>
            <c:numRef>
              <c:f>Sheet3!$D$4:$D$7</c:f>
              <c:numCache>
                <c:formatCode>General</c:formatCode>
                <c:ptCount val="3"/>
                <c:pt idx="0">
                  <c:v>35</c:v>
                </c:pt>
                <c:pt idx="1">
                  <c:v>34</c:v>
                </c:pt>
                <c:pt idx="2">
                  <c:v>34</c:v>
                </c:pt>
              </c:numCache>
            </c:numRef>
          </c:val>
          <c:extLst>
            <c:ext xmlns:c16="http://schemas.microsoft.com/office/drawing/2014/chart" uri="{C3380CC4-5D6E-409C-BE32-E72D297353CC}">
              <c16:uniqueId val="{00000002-7050-45B5-9B15-A33BE29ACF05}"/>
            </c:ext>
          </c:extLst>
        </c:ser>
        <c:ser>
          <c:idx val="3"/>
          <c:order val="3"/>
          <c:tx>
            <c:strRef>
              <c:f>Sheet3!$E$3</c:f>
              <c:strCache>
                <c:ptCount val="1"/>
                <c:pt idx="0">
                  <c:v>Digital Marketing and SEO Skills</c:v>
                </c:pt>
              </c:strCache>
            </c:strRef>
          </c:tx>
          <c:spPr>
            <a:solidFill>
              <a:schemeClr val="accent4"/>
            </a:solidFill>
            <a:ln>
              <a:noFill/>
            </a:ln>
            <a:effectLst/>
          </c:spPr>
          <c:invertIfNegative val="0"/>
          <c:cat>
            <c:strRef>
              <c:f>Sheet3!$A$4:$A$7</c:f>
              <c:strCache>
                <c:ptCount val="3"/>
                <c:pt idx="0">
                  <c:v>Feman Media Agency </c:v>
                </c:pt>
                <c:pt idx="1">
                  <c:v>Kamili Capital </c:v>
                </c:pt>
                <c:pt idx="2">
                  <c:v>Rossetta360</c:v>
                </c:pt>
              </c:strCache>
            </c:strRef>
          </c:cat>
          <c:val>
            <c:numRef>
              <c:f>Sheet3!$E$4:$E$7</c:f>
              <c:numCache>
                <c:formatCode>General</c:formatCode>
                <c:ptCount val="3"/>
                <c:pt idx="0">
                  <c:v>36</c:v>
                </c:pt>
                <c:pt idx="1">
                  <c:v>37</c:v>
                </c:pt>
                <c:pt idx="2">
                  <c:v>28</c:v>
                </c:pt>
              </c:numCache>
            </c:numRef>
          </c:val>
          <c:extLst>
            <c:ext xmlns:c16="http://schemas.microsoft.com/office/drawing/2014/chart" uri="{C3380CC4-5D6E-409C-BE32-E72D297353CC}">
              <c16:uniqueId val="{00000004-7050-45B5-9B15-A33BE29ACF05}"/>
            </c:ext>
          </c:extLst>
        </c:ser>
        <c:ser>
          <c:idx val="4"/>
          <c:order val="4"/>
          <c:tx>
            <c:strRef>
              <c:f>Sheet3!$F$3</c:f>
              <c:strCache>
                <c:ptCount val="1"/>
                <c:pt idx="0">
                  <c:v>Compliance and Ethical Practices </c:v>
                </c:pt>
              </c:strCache>
            </c:strRef>
          </c:tx>
          <c:spPr>
            <a:solidFill>
              <a:schemeClr val="accent5"/>
            </a:solidFill>
            <a:ln>
              <a:noFill/>
            </a:ln>
            <a:effectLst/>
          </c:spPr>
          <c:invertIfNegative val="0"/>
          <c:cat>
            <c:strRef>
              <c:f>Sheet3!$A$4:$A$7</c:f>
              <c:strCache>
                <c:ptCount val="3"/>
                <c:pt idx="0">
                  <c:v>Feman Media Agency </c:v>
                </c:pt>
                <c:pt idx="1">
                  <c:v>Kamili Capital </c:v>
                </c:pt>
                <c:pt idx="2">
                  <c:v>Rossetta360</c:v>
                </c:pt>
              </c:strCache>
            </c:strRef>
          </c:cat>
          <c:val>
            <c:numRef>
              <c:f>Sheet3!$F$4:$F$7</c:f>
              <c:numCache>
                <c:formatCode>General</c:formatCode>
                <c:ptCount val="3"/>
                <c:pt idx="0">
                  <c:v>36</c:v>
                </c:pt>
                <c:pt idx="1">
                  <c:v>38</c:v>
                </c:pt>
                <c:pt idx="2">
                  <c:v>38</c:v>
                </c:pt>
              </c:numCache>
            </c:numRef>
          </c:val>
          <c:extLst>
            <c:ext xmlns:c16="http://schemas.microsoft.com/office/drawing/2014/chart" uri="{C3380CC4-5D6E-409C-BE32-E72D297353CC}">
              <c16:uniqueId val="{00000005-7050-45B5-9B15-A33BE29ACF05}"/>
            </c:ext>
          </c:extLst>
        </c:ser>
        <c:ser>
          <c:idx val="5"/>
          <c:order val="5"/>
          <c:tx>
            <c:strRef>
              <c:f>Sheet3!$G$3</c:f>
              <c:strCache>
                <c:ptCount val="1"/>
                <c:pt idx="0">
                  <c:v>Creative and Content Development </c:v>
                </c:pt>
              </c:strCache>
            </c:strRef>
          </c:tx>
          <c:spPr>
            <a:solidFill>
              <a:schemeClr val="accent6"/>
            </a:solidFill>
            <a:ln>
              <a:noFill/>
            </a:ln>
            <a:effectLst/>
          </c:spPr>
          <c:invertIfNegative val="0"/>
          <c:cat>
            <c:strRef>
              <c:f>Sheet3!$A$4:$A$7</c:f>
              <c:strCache>
                <c:ptCount val="3"/>
                <c:pt idx="0">
                  <c:v>Feman Media Agency </c:v>
                </c:pt>
                <c:pt idx="1">
                  <c:v>Kamili Capital </c:v>
                </c:pt>
                <c:pt idx="2">
                  <c:v>Rossetta360</c:v>
                </c:pt>
              </c:strCache>
            </c:strRef>
          </c:cat>
          <c:val>
            <c:numRef>
              <c:f>Sheet3!$G$4:$G$7</c:f>
              <c:numCache>
                <c:formatCode>General</c:formatCode>
                <c:ptCount val="3"/>
                <c:pt idx="0">
                  <c:v>34</c:v>
                </c:pt>
                <c:pt idx="1">
                  <c:v>37</c:v>
                </c:pt>
                <c:pt idx="2">
                  <c:v>32</c:v>
                </c:pt>
              </c:numCache>
            </c:numRef>
          </c:val>
          <c:extLst>
            <c:ext xmlns:c16="http://schemas.microsoft.com/office/drawing/2014/chart" uri="{C3380CC4-5D6E-409C-BE32-E72D297353CC}">
              <c16:uniqueId val="{00000006-7050-45B5-9B15-A33BE29ACF05}"/>
            </c:ext>
          </c:extLst>
        </c:ser>
        <c:ser>
          <c:idx val="6"/>
          <c:order val="6"/>
          <c:tx>
            <c:strRef>
              <c:f>Sheet3!$H$3</c:f>
              <c:strCache>
                <c:ptCount val="1"/>
                <c:pt idx="0">
                  <c:v>Presence and Awareness</c:v>
                </c:pt>
              </c:strCache>
            </c:strRef>
          </c:tx>
          <c:spPr>
            <a:solidFill>
              <a:schemeClr val="accent1">
                <a:lumMod val="60000"/>
              </a:schemeClr>
            </a:solidFill>
            <a:ln>
              <a:noFill/>
            </a:ln>
            <a:effectLst/>
          </c:spPr>
          <c:invertIfNegative val="0"/>
          <c:cat>
            <c:strRef>
              <c:f>Sheet3!$A$4:$A$7</c:f>
              <c:strCache>
                <c:ptCount val="3"/>
                <c:pt idx="0">
                  <c:v>Feman Media Agency </c:v>
                </c:pt>
                <c:pt idx="1">
                  <c:v>Kamili Capital </c:v>
                </c:pt>
                <c:pt idx="2">
                  <c:v>Rossetta360</c:v>
                </c:pt>
              </c:strCache>
            </c:strRef>
          </c:cat>
          <c:val>
            <c:numRef>
              <c:f>Sheet3!$H$4:$H$7</c:f>
              <c:numCache>
                <c:formatCode>General</c:formatCode>
                <c:ptCount val="3"/>
                <c:pt idx="0">
                  <c:v>33</c:v>
                </c:pt>
                <c:pt idx="1">
                  <c:v>30</c:v>
                </c:pt>
                <c:pt idx="2">
                  <c:v>27</c:v>
                </c:pt>
              </c:numCache>
            </c:numRef>
          </c:val>
          <c:extLst>
            <c:ext xmlns:c16="http://schemas.microsoft.com/office/drawing/2014/chart" uri="{C3380CC4-5D6E-409C-BE32-E72D297353CC}">
              <c16:uniqueId val="{00000007-7050-45B5-9B15-A33BE29ACF05}"/>
            </c:ext>
          </c:extLst>
        </c:ser>
        <c:ser>
          <c:idx val="7"/>
          <c:order val="7"/>
          <c:tx>
            <c:strRef>
              <c:f>Sheet3!$I$3</c:f>
              <c:strCache>
                <c:ptCount val="1"/>
                <c:pt idx="0">
                  <c:v>Local and Cultural Relevance </c:v>
                </c:pt>
              </c:strCache>
            </c:strRef>
          </c:tx>
          <c:spPr>
            <a:solidFill>
              <a:schemeClr val="accent2">
                <a:lumMod val="60000"/>
              </a:schemeClr>
            </a:solidFill>
            <a:ln>
              <a:noFill/>
            </a:ln>
            <a:effectLst/>
          </c:spPr>
          <c:invertIfNegative val="0"/>
          <c:cat>
            <c:strRef>
              <c:f>Sheet3!$A$4:$A$7</c:f>
              <c:strCache>
                <c:ptCount val="3"/>
                <c:pt idx="0">
                  <c:v>Feman Media Agency </c:v>
                </c:pt>
                <c:pt idx="1">
                  <c:v>Kamili Capital </c:v>
                </c:pt>
                <c:pt idx="2">
                  <c:v>Rossetta360</c:v>
                </c:pt>
              </c:strCache>
            </c:strRef>
          </c:cat>
          <c:val>
            <c:numRef>
              <c:f>Sheet3!$I$4:$I$7</c:f>
              <c:numCache>
                <c:formatCode>General</c:formatCode>
                <c:ptCount val="3"/>
                <c:pt idx="0">
                  <c:v>33</c:v>
                </c:pt>
                <c:pt idx="1">
                  <c:v>30</c:v>
                </c:pt>
                <c:pt idx="2">
                  <c:v>33</c:v>
                </c:pt>
              </c:numCache>
            </c:numRef>
          </c:val>
          <c:extLst>
            <c:ext xmlns:c16="http://schemas.microsoft.com/office/drawing/2014/chart" uri="{C3380CC4-5D6E-409C-BE32-E72D297353CC}">
              <c16:uniqueId val="{00000008-7050-45B5-9B15-A33BE29ACF05}"/>
            </c:ext>
          </c:extLst>
        </c:ser>
        <c:ser>
          <c:idx val="8"/>
          <c:order val="8"/>
          <c:tx>
            <c:strRef>
              <c:f>Sheet3!$J$3</c:f>
              <c:strCache>
                <c:ptCount val="1"/>
                <c:pt idx="0">
                  <c:v>Reputation and References </c:v>
                </c:pt>
              </c:strCache>
            </c:strRef>
          </c:tx>
          <c:spPr>
            <a:solidFill>
              <a:schemeClr val="accent3">
                <a:lumMod val="60000"/>
              </a:schemeClr>
            </a:solidFill>
            <a:ln>
              <a:noFill/>
            </a:ln>
            <a:effectLst/>
          </c:spPr>
          <c:invertIfNegative val="0"/>
          <c:cat>
            <c:strRef>
              <c:f>Sheet3!$A$4:$A$7</c:f>
              <c:strCache>
                <c:ptCount val="3"/>
                <c:pt idx="0">
                  <c:v>Feman Media Agency </c:v>
                </c:pt>
                <c:pt idx="1">
                  <c:v>Kamili Capital </c:v>
                </c:pt>
                <c:pt idx="2">
                  <c:v>Rossetta360</c:v>
                </c:pt>
              </c:strCache>
            </c:strRef>
          </c:cat>
          <c:val>
            <c:numRef>
              <c:f>Sheet3!$J$4:$J$7</c:f>
              <c:numCache>
                <c:formatCode>General</c:formatCode>
                <c:ptCount val="3"/>
                <c:pt idx="0">
                  <c:v>30</c:v>
                </c:pt>
                <c:pt idx="1">
                  <c:v>36</c:v>
                </c:pt>
                <c:pt idx="2">
                  <c:v>37</c:v>
                </c:pt>
              </c:numCache>
            </c:numRef>
          </c:val>
          <c:extLst>
            <c:ext xmlns:c16="http://schemas.microsoft.com/office/drawing/2014/chart" uri="{C3380CC4-5D6E-409C-BE32-E72D297353CC}">
              <c16:uniqueId val="{00000009-7050-45B5-9B15-A33BE29ACF05}"/>
            </c:ext>
          </c:extLst>
        </c:ser>
        <c:dLbls>
          <c:showLegendKey val="0"/>
          <c:showVal val="0"/>
          <c:showCatName val="0"/>
          <c:showSerName val="0"/>
          <c:showPercent val="0"/>
          <c:showBubbleSize val="0"/>
        </c:dLbls>
        <c:gapWidth val="219"/>
        <c:overlap val="-27"/>
        <c:axId val="2040265296"/>
        <c:axId val="2040265776"/>
      </c:barChart>
      <c:catAx>
        <c:axId val="2040265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LID4096"/>
          </a:p>
        </c:txPr>
        <c:crossAx val="2040265776"/>
        <c:crosses val="autoZero"/>
        <c:auto val="1"/>
        <c:lblAlgn val="ctr"/>
        <c:lblOffset val="100"/>
        <c:noMultiLvlLbl val="0"/>
      </c:catAx>
      <c:valAx>
        <c:axId val="204026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LID4096"/>
          </a:p>
        </c:txPr>
        <c:crossAx val="2040265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2614556</xdr:colOff>
      <xdr:row>9</xdr:row>
      <xdr:rowOff>108697</xdr:rowOff>
    </xdr:from>
    <xdr:to>
      <xdr:col>5</xdr:col>
      <xdr:colOff>1353670</xdr:colOff>
      <xdr:row>35</xdr:row>
      <xdr:rowOff>44824</xdr:rowOff>
    </xdr:to>
    <xdr:graphicFrame macro="">
      <xdr:nvGraphicFramePr>
        <xdr:cNvPr id="3" name="Chart 2">
          <a:extLst>
            <a:ext uri="{FF2B5EF4-FFF2-40B4-BE49-F238E27FC236}">
              <a16:creationId xmlns:a16="http://schemas.microsoft.com/office/drawing/2014/main" id="{5F6E4C0E-D544-76EC-82B1-60F196A3A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olabi Azeez" refreshedDate="45797.448503819447" createdVersion="8" refreshedVersion="8" minRefreshableVersion="3" recordCount="15" xr:uid="{3FA3BE00-2A23-478B-808D-6094DE1F08A0}">
  <cacheSource type="worksheet">
    <worksheetSource name="OfficeForms.Table[[Which Brand are you evaluating ]:[Reputation and References _x000a_Are they vast in the financial space?]]"/>
  </cacheSource>
  <cacheFields count="10">
    <cacheField name="Which Brand are you evaluating " numFmtId="0">
      <sharedItems count="3">
        <s v="Feman Media Agency "/>
        <s v="Rossetta360"/>
        <s v="Kamili Capital "/>
      </sharedItems>
    </cacheField>
    <cacheField name="Industry Experience and Fintech Expertise_x000a__x000a_Has the agency worked with financial services or BDC or fintech clients, particularly in Nigeria or Africa?_x000a_" numFmtId="0">
      <sharedItems containsSemiMixedTypes="0" containsString="0" containsNumber="1" containsInteger="1" minValue="1" maxValue="10"/>
    </cacheField>
    <cacheField name="Strategic Branding Capabilities _x000a__x000a_Do they offer competitor analysis to position us effectively?_x000a_" numFmtId="0">
      <sharedItems containsSemiMixedTypes="0" containsString="0" containsNumber="1" containsInteger="1" minValue="5" maxValue="10"/>
    </cacheField>
    <cacheField name="PR and Media Relations Expertise_x000a__x000a_Do they have connections with Nigerian and international media outlets relevant to finance or BDC?_x000a_Do they have crisis communication strategies to handle negative pub" numFmtId="0">
      <sharedItems containsSemiMixedTypes="0" containsString="0" containsNumber="1" containsInteger="1" minValue="3" maxValue="10"/>
    </cacheField>
    <cacheField name="Digital Marketing and SEO Skills_x000a__x000a_Can they optimize your website for local and global SEO to attract BDC clients?      _x000a_Do they offer social media marketing tailored to Nigeria’s audience (e.g., X, In" numFmtId="0">
      <sharedItems containsSemiMixedTypes="0" containsString="0" containsNumber="1" containsInteger="1" minValue="3" maxValue="9"/>
    </cacheField>
    <cacheField name="Compliance and Ethical Practices _x000a__x000a_Are their marketing practices compliant with NDPA 2023 for handling customer data in campaigns? _x000a_Do they understand CBN’s advertising restrictions for BDCs (e.g., no" numFmtId="0">
      <sharedItems containsSemiMixedTypes="0" containsString="0" containsNumber="1" containsInteger="1" minValue="5" maxValue="10"/>
    </cacheField>
    <cacheField name="Creative and Content Development _x000a__x000a_Can they produce high-quality, finance-focused content (e.g., blog posts, videos, infographics) to educate clients?_x000a__x000a_Do they offer multilingual content for internati" numFmtId="0">
      <sharedItems containsSemiMixedTypes="0" containsString="0" containsNumber="1" containsInteger="1" minValue="4" maxValue="10"/>
    </cacheField>
    <cacheField name="Presence and Awareness_x000a__x000a_What is their media presence?What is their following on Social media?" numFmtId="0">
      <sharedItems containsSemiMixedTypes="0" containsString="0" containsNumber="1" containsInteger="1" minValue="1" maxValue="9"/>
    </cacheField>
    <cacheField name="Local and Cultural Relevance _x000a__x000a_Do they understand Nigeria’s cultural and economic context for BDC marketing?" numFmtId="0">
      <sharedItems containsSemiMixedTypes="0" containsString="0" containsNumber="1" containsInteger="1" minValue="4" maxValue="9"/>
    </cacheField>
    <cacheField name="Reputation and References _x000a_Are they vast in the financial space?" numFmtId="0">
      <sharedItems containsSemiMixedTypes="0" containsString="0" containsNumber="1" containsInteger="1" minValue="3"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
    <n v="5"/>
    <n v="10"/>
    <n v="5"/>
    <n v="10"/>
    <n v="5"/>
    <n v="5"/>
    <n v="5"/>
    <n v="3"/>
  </r>
  <r>
    <x v="1"/>
    <n v="6"/>
    <n v="5"/>
    <n v="5"/>
    <n v="3"/>
    <n v="10"/>
    <n v="7"/>
    <n v="1"/>
    <n v="7"/>
    <n v="7"/>
  </r>
  <r>
    <x v="2"/>
    <n v="10"/>
    <n v="8"/>
    <n v="7"/>
    <n v="6"/>
    <n v="10"/>
    <n v="8"/>
    <n v="5"/>
    <n v="7"/>
    <n v="8"/>
  </r>
  <r>
    <x v="1"/>
    <n v="9"/>
    <n v="9"/>
    <n v="9"/>
    <n v="9"/>
    <n v="9"/>
    <n v="9"/>
    <n v="9"/>
    <n v="9"/>
    <n v="9"/>
  </r>
  <r>
    <x v="0"/>
    <n v="7"/>
    <n v="10"/>
    <n v="7"/>
    <n v="9"/>
    <n v="7"/>
    <n v="7"/>
    <n v="8"/>
    <n v="8"/>
    <n v="7"/>
  </r>
  <r>
    <x v="2"/>
    <n v="6"/>
    <n v="6"/>
    <n v="8"/>
    <n v="9"/>
    <n v="8"/>
    <n v="8"/>
    <n v="9"/>
    <n v="7"/>
    <n v="8"/>
  </r>
  <r>
    <x v="0"/>
    <n v="9"/>
    <n v="10"/>
    <n v="9"/>
    <n v="9"/>
    <n v="9"/>
    <n v="10"/>
    <n v="8"/>
    <n v="8"/>
    <n v="9"/>
  </r>
  <r>
    <x v="2"/>
    <n v="9"/>
    <n v="5"/>
    <n v="7"/>
    <n v="8"/>
    <n v="6"/>
    <n v="7"/>
    <n v="3"/>
    <n v="4"/>
    <n v="6"/>
  </r>
  <r>
    <x v="1"/>
    <n v="8"/>
    <n v="7"/>
    <n v="8"/>
    <n v="6"/>
    <n v="8"/>
    <n v="6"/>
    <n v="5"/>
    <n v="7"/>
    <n v="9"/>
  </r>
  <r>
    <x v="1"/>
    <n v="6"/>
    <n v="6"/>
    <n v="6"/>
    <n v="5"/>
    <n v="5"/>
    <n v="6"/>
    <n v="6"/>
    <n v="5"/>
    <n v="6"/>
  </r>
  <r>
    <x v="0"/>
    <n v="3"/>
    <n v="8"/>
    <n v="3"/>
    <n v="6"/>
    <n v="5"/>
    <n v="6"/>
    <n v="5"/>
    <n v="5"/>
    <n v="5"/>
  </r>
  <r>
    <x v="0"/>
    <n v="6"/>
    <n v="7"/>
    <n v="6"/>
    <n v="7"/>
    <n v="5"/>
    <n v="6"/>
    <n v="7"/>
    <n v="7"/>
    <n v="6"/>
  </r>
  <r>
    <x v="2"/>
    <n v="5"/>
    <n v="6"/>
    <n v="5"/>
    <n v="6"/>
    <n v="6"/>
    <n v="5"/>
    <n v="5"/>
    <n v="5"/>
    <n v="6"/>
  </r>
  <r>
    <x v="2"/>
    <n v="8"/>
    <n v="8"/>
    <n v="7"/>
    <n v="8"/>
    <n v="8"/>
    <n v="9"/>
    <n v="8"/>
    <n v="7"/>
    <n v="8"/>
  </r>
  <r>
    <x v="1"/>
    <n v="6"/>
    <n v="6"/>
    <n v="6"/>
    <n v="5"/>
    <n v="6"/>
    <n v="4"/>
    <n v="6"/>
    <n v="5"/>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2458B-9FB6-49F1-AEDA-CFAC00F14C36}" name="PivotTable3" cacheId="322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J7" firstHeaderRow="0" firstDataRow="1" firstDataCol="1"/>
  <pivotFields count="10">
    <pivotField axis="axisRow" showAll="0">
      <items count="4">
        <item x="0"/>
        <item x="2"/>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4">
    <i>
      <x/>
    </i>
    <i>
      <x v="1"/>
    </i>
    <i>
      <x v="2"/>
    </i>
    <i t="grand">
      <x/>
    </i>
  </rowItems>
  <colFields count="1">
    <field x="-2"/>
  </colFields>
  <colItems count="9">
    <i>
      <x/>
    </i>
    <i i="1">
      <x v="1"/>
    </i>
    <i i="2">
      <x v="2"/>
    </i>
    <i i="3">
      <x v="3"/>
    </i>
    <i i="4">
      <x v="4"/>
    </i>
    <i i="5">
      <x v="5"/>
    </i>
    <i i="6">
      <x v="6"/>
    </i>
    <i i="7">
      <x v="7"/>
    </i>
    <i i="8">
      <x v="8"/>
    </i>
  </colItems>
  <dataFields count="9">
    <dataField name="Industry Experience and Fintech Expertise" fld="1" baseField="0" baseItem="0"/>
    <dataField name="Strategic Branding Capabilities " fld="2" baseField="0" baseItem="0"/>
    <dataField name="PR and Media Relations Expertise" fld="3" baseField="0" baseItem="0"/>
    <dataField name="Digital Marketing and SEO Skills" fld="4" baseField="0" baseItem="0"/>
    <dataField name="Compliance and Ethical Practices " fld="5" baseField="0" baseItem="0"/>
    <dataField name="Creative and Content Development " fld="6" baseField="0" baseItem="0"/>
    <dataField name="Presence and Awareness" fld="7" baseField="0" baseItem="0"/>
    <dataField name="Local and Cultural Relevance " fld="8" baseField="0" baseItem="0"/>
    <dataField name="Reputation and References " fld="9" baseField="0" baseItem="0"/>
  </dataFields>
  <chartFormats count="18">
    <chartFormat chart="3" format="27"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1"/>
          </reference>
        </references>
      </pivotArea>
    </chartFormat>
    <chartFormat chart="3" format="29" series="1">
      <pivotArea type="data" outline="0" fieldPosition="0">
        <references count="1">
          <reference field="4294967294" count="1" selected="0">
            <x v="2"/>
          </reference>
        </references>
      </pivotArea>
    </chartFormat>
    <chartFormat chart="3" format="30" series="1">
      <pivotArea type="data" outline="0" fieldPosition="0">
        <references count="1">
          <reference field="4294967294" count="1" selected="0">
            <x v="3"/>
          </reference>
        </references>
      </pivotArea>
    </chartFormat>
    <chartFormat chart="3" format="31" series="1">
      <pivotArea type="data" outline="0" fieldPosition="0">
        <references count="1">
          <reference field="4294967294" count="1" selected="0">
            <x v="4"/>
          </reference>
        </references>
      </pivotArea>
    </chartFormat>
    <chartFormat chart="3" format="32" series="1">
      <pivotArea type="data" outline="0" fieldPosition="0">
        <references count="1">
          <reference field="4294967294" count="1" selected="0">
            <x v="5"/>
          </reference>
        </references>
      </pivotArea>
    </chartFormat>
    <chartFormat chart="3" format="33" series="1">
      <pivotArea type="data" outline="0" fieldPosition="0">
        <references count="1">
          <reference field="4294967294" count="1" selected="0">
            <x v="6"/>
          </reference>
        </references>
      </pivotArea>
    </chartFormat>
    <chartFormat chart="3" format="34" series="1">
      <pivotArea type="data" outline="0" fieldPosition="0">
        <references count="1">
          <reference field="4294967294" count="1" selected="0">
            <x v="7"/>
          </reference>
        </references>
      </pivotArea>
    </chartFormat>
    <chartFormat chart="3" format="35" series="1">
      <pivotArea type="data" outline="0" fieldPosition="0">
        <references count="1">
          <reference field="4294967294" count="1" selected="0">
            <x v="8"/>
          </reference>
        </references>
      </pivotArea>
    </chartFormat>
    <chartFormat chart="0" format="27" series="1">
      <pivotArea type="data" outline="0" fieldPosition="0">
        <references count="1">
          <reference field="4294967294" count="1" selected="0">
            <x v="0"/>
          </reference>
        </references>
      </pivotArea>
    </chartFormat>
    <chartFormat chart="0" format="28" series="1">
      <pivotArea type="data" outline="0" fieldPosition="0">
        <references count="1">
          <reference field="4294967294" count="1" selected="0">
            <x v="1"/>
          </reference>
        </references>
      </pivotArea>
    </chartFormat>
    <chartFormat chart="0" format="29" series="1">
      <pivotArea type="data" outline="0" fieldPosition="0">
        <references count="1">
          <reference field="4294967294" count="1" selected="0">
            <x v="2"/>
          </reference>
        </references>
      </pivotArea>
    </chartFormat>
    <chartFormat chart="0" format="30" series="1">
      <pivotArea type="data" outline="0" fieldPosition="0">
        <references count="1">
          <reference field="4294967294" count="1" selected="0">
            <x v="3"/>
          </reference>
        </references>
      </pivotArea>
    </chartFormat>
    <chartFormat chart="0" format="31" series="1">
      <pivotArea type="data" outline="0" fieldPosition="0">
        <references count="1">
          <reference field="4294967294" count="1" selected="0">
            <x v="4"/>
          </reference>
        </references>
      </pivotArea>
    </chartFormat>
    <chartFormat chart="0" format="32" series="1">
      <pivotArea type="data" outline="0" fieldPosition="0">
        <references count="1">
          <reference field="4294967294" count="1" selected="0">
            <x v="5"/>
          </reference>
        </references>
      </pivotArea>
    </chartFormat>
    <chartFormat chart="0" format="33" series="1">
      <pivotArea type="data" outline="0" fieldPosition="0">
        <references count="1">
          <reference field="4294967294" count="1" selected="0">
            <x v="6"/>
          </reference>
        </references>
      </pivotArea>
    </chartFormat>
    <chartFormat chart="0" format="34" series="1">
      <pivotArea type="data" outline="0" fieldPosition="0">
        <references count="1">
          <reference field="4294967294" count="1" selected="0">
            <x v="7"/>
          </reference>
        </references>
      </pivotArea>
    </chartFormat>
    <chartFormat chart="0" format="35" series="1">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16" totalsRowShown="0">
  <autoFilter ref="A1:O16" xr:uid="{00000000-0009-0000-0100-000001000000}"/>
  <tableColumns count="15">
    <tableColumn id="1" xr3:uid="{00000000-0010-0000-0000-000001000000}" name="Id" dataDxfId="12">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1">
      <extLst>
        <ext xmlns:xlmsforms="http://schemas.microsoft.com/office/spreadsheetml/2023/msForms" uri="{FCC71383-01E1-4257-9335-427F07BE8D7F}">
          <xlmsforms:question id="responder"/>
        </ext>
      </extLst>
    </tableColumn>
    <tableColumn id="5" xr3:uid="{00000000-0010-0000-0000-000005000000}" name="Name" dataDxfId="10">
      <extLst>
        <ext xmlns:xlmsforms="http://schemas.microsoft.com/office/spreadsheetml/2023/msForms" uri="{FCC71383-01E1-4257-9335-427F07BE8D7F}">
          <xlmsforms:question id="responderName"/>
        </ext>
      </extLst>
    </tableColumn>
    <tableColumn id="6" xr3:uid="{00000000-0010-0000-0000-000006000000}" name="Which Brand are you evaluating " dataDxfId="9">
      <extLst>
        <ext xmlns:xlmsforms="http://schemas.microsoft.com/office/spreadsheetml/2023/msForms" uri="{FCC71383-01E1-4257-9335-427F07BE8D7F}">
          <xlmsforms:question id="r5a4d3b9ea42847b28f88c63780b71762"/>
        </ext>
      </extLst>
    </tableColumn>
    <tableColumn id="7" xr3:uid="{00000000-0010-0000-0000-000007000000}" name="Industry Experience and Fintech Expertise_x000a__x000a_Has the agency worked with financial services or BDC or fintech clients, particularly in Nigeria or Africa?_x000a_" dataDxfId="8">
      <extLst>
        <ext xmlns:xlmsforms="http://schemas.microsoft.com/office/spreadsheetml/2023/msForms" uri="{FCC71383-01E1-4257-9335-427F07BE8D7F}">
          <xlmsforms:question id="re8e74230bcb0470790dd7037e6d9b55e"/>
        </ext>
      </extLst>
    </tableColumn>
    <tableColumn id="8" xr3:uid="{00000000-0010-0000-0000-000008000000}" name="Strategic Branding Capabilities _x000a__x000a_Do they offer competitor analysis to position us effectively?_x000a_" dataDxfId="7">
      <extLst>
        <ext xmlns:xlmsforms="http://schemas.microsoft.com/office/spreadsheetml/2023/msForms" uri="{FCC71383-01E1-4257-9335-427F07BE8D7F}">
          <xlmsforms:question id="ra80ee8ccac414703bcb426f7a7de1c50"/>
        </ext>
      </extLst>
    </tableColumn>
    <tableColumn id="9" xr3:uid="{00000000-0010-0000-0000-000009000000}" name="PR and Media Relations Expertise_x000a__x000a_Do they have connections with Nigerian and international media outlets relevant to finance or BDC?_x000a_Do they have crisis communication strategies to handle negative pub" dataDxfId="6">
      <extLst>
        <ext xmlns:xlmsforms="http://schemas.microsoft.com/office/spreadsheetml/2023/msForms" uri="{FCC71383-01E1-4257-9335-427F07BE8D7F}">
          <xlmsforms:question id="r4200ef5ceeae40f3b5cc1904685d02d5"/>
        </ext>
      </extLst>
    </tableColumn>
    <tableColumn id="10" xr3:uid="{00000000-0010-0000-0000-00000A000000}" name="Digital Marketing and SEO Skills_x000a__x000a_Can they optimize your website for local and global SEO to attract BDC clients?      _x000a_Do they offer social media marketing tailored to Nigeria’s audience (e.g., X, In" dataDxfId="5">
      <extLst>
        <ext xmlns:xlmsforms="http://schemas.microsoft.com/office/spreadsheetml/2023/msForms" uri="{FCC71383-01E1-4257-9335-427F07BE8D7F}">
          <xlmsforms:question id="r8293464b2f7b471bad0652816d430fa0"/>
        </ext>
      </extLst>
    </tableColumn>
    <tableColumn id="11" xr3:uid="{00000000-0010-0000-0000-00000B000000}" name="Compliance and Ethical Practices _x000a__x000a_Are their marketing practices compliant with NDPA 2023 for handling customer data in campaigns? _x000a_Do they understand CBN’s advertising restrictions for BDCs (e.g., no" dataDxfId="4">
      <extLst>
        <ext xmlns:xlmsforms="http://schemas.microsoft.com/office/spreadsheetml/2023/msForms" uri="{FCC71383-01E1-4257-9335-427F07BE8D7F}">
          <xlmsforms:question id="rfff51966ec9f4a83980e9b41e2bdffff"/>
        </ext>
      </extLst>
    </tableColumn>
    <tableColumn id="12" xr3:uid="{00000000-0010-0000-0000-00000C000000}" name="Creative and Content Development _x000a__x000a_Can they produce high-quality, finance-focused content (e.g., blog posts, videos, infographics) to educate clients?_x000a__x000a_Do they offer multilingual content for internati" dataDxfId="3">
      <extLst>
        <ext xmlns:xlmsforms="http://schemas.microsoft.com/office/spreadsheetml/2023/msForms" uri="{FCC71383-01E1-4257-9335-427F07BE8D7F}">
          <xlmsforms:question id="r5ff0fa1b95d84dadb3d6fb9fe1168d76"/>
        </ext>
      </extLst>
    </tableColumn>
    <tableColumn id="13" xr3:uid="{00000000-0010-0000-0000-00000D000000}" name="Presence and Awareness_x000a__x000a_What is their media presence?What is their following on Social media?" dataDxfId="2">
      <extLst>
        <ext xmlns:xlmsforms="http://schemas.microsoft.com/office/spreadsheetml/2023/msForms" uri="{FCC71383-01E1-4257-9335-427F07BE8D7F}">
          <xlmsforms:question id="r7dc6e3ada6ec40bb82f4bc7e533d1fa9"/>
        </ext>
      </extLst>
    </tableColumn>
    <tableColumn id="14" xr3:uid="{00000000-0010-0000-0000-00000E000000}" name="Local and Cultural Relevance _x000a__x000a_Do they understand Nigeria’s cultural and economic context for BDC marketing?" dataDxfId="1">
      <extLst>
        <ext xmlns:xlmsforms="http://schemas.microsoft.com/office/spreadsheetml/2023/msForms" uri="{FCC71383-01E1-4257-9335-427F07BE8D7F}">
          <xlmsforms:question id="rac79dc9dee6b4b699f47f0972039ef43"/>
        </ext>
      </extLst>
    </tableColumn>
    <tableColumn id="15" xr3:uid="{00000000-0010-0000-0000-00000F000000}" name="Reputation and References _x000a_Are they vast in the financial space?" dataDxfId="0">
      <extLst>
        <ext xmlns:xlmsforms="http://schemas.microsoft.com/office/spreadsheetml/2023/msForms" uri="{FCC71383-01E1-4257-9335-427F07BE8D7F}">
          <xlmsforms:question id="r7e92e942fc7e4ec7b5b9a91152609cb0"/>
        </ext>
      </extLst>
    </tableColumn>
  </tableColumns>
  <tableStyleInfo name="TableStyleMedium2" showFirstColumn="0" showLastColumn="0" showRowStripes="1" showColumnStripes="0"/>
  <extLst>
    <ext xmlns:xlmsforms="http://schemas.microsoft.com/office/spreadsheetml/2023/msForms" uri="{839C7E11-91E4-4DBD-9C5D-0DEA604FA9AC}">
      <xlmsforms:msForm id="KWCY2ackp0qJ7CITLlMu10aY7OK2zCNCiWNdrqwlnpVUN1lETkw0NDlTUzZMRlZFNERXSThRRUE0NC4u" isFormConnected="1" maxResponseId="18" latestEventMarker="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r5a4d3b9ea42847b28f88c63780b71762</xlmsforms:syncedQuestionId>
        <xlmsforms:syncedQuestionId>re8e74230bcb0470790dd7037e6d9b55e</xlmsforms:syncedQuestionId>
        <xlmsforms:syncedQuestionId>ra80ee8ccac414703bcb426f7a7de1c50</xlmsforms:syncedQuestionId>
        <xlmsforms:syncedQuestionId>r4200ef5ceeae40f3b5cc1904685d02d5</xlmsforms:syncedQuestionId>
        <xlmsforms:syncedQuestionId>r8293464b2f7b471bad0652816d430fa0</xlmsforms:syncedQuestionId>
        <xlmsforms:syncedQuestionId>rfff51966ec9f4a83980e9b41e2bdffff</xlmsforms:syncedQuestionId>
        <xlmsforms:syncedQuestionId>r5ff0fa1b95d84dadb3d6fb9fe1168d76</xlmsforms:syncedQuestionId>
        <xlmsforms:syncedQuestionId>r7dc6e3ada6ec40bb82f4bc7e533d1fa9</xlmsforms:syncedQuestionId>
        <xlmsforms:syncedQuestionId>rac79dc9dee6b4b699f47f0972039ef43</xlmsforms:syncedQuestionId>
        <xlmsforms:syncedQuestionId>r7e92e942fc7e4ec7b5b9a91152609cb0</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C658-9033-4C79-8524-939FC3860F27}">
  <dimension ref="A3:K7"/>
  <sheetViews>
    <sheetView tabSelected="1" topLeftCell="H2" zoomScale="85" zoomScaleNormal="85" workbookViewId="0">
      <selection activeCell="L10" sqref="L10"/>
    </sheetView>
  </sheetViews>
  <sheetFormatPr defaultRowHeight="14.45"/>
  <cols>
    <col min="1" max="1" width="19.85546875" bestFit="1" customWidth="1"/>
    <col min="2" max="2" width="38.85546875" bestFit="1" customWidth="1"/>
    <col min="3" max="3" width="29.28515625" bestFit="1" customWidth="1"/>
    <col min="4" max="4" width="31.28515625" bestFit="1" customWidth="1"/>
    <col min="5" max="5" width="29.85546875" bestFit="1" customWidth="1"/>
    <col min="6" max="6" width="31.28515625" bestFit="1" customWidth="1"/>
    <col min="7" max="7" width="33.5703125" bestFit="1" customWidth="1"/>
    <col min="8" max="8" width="23.28515625" bestFit="1" customWidth="1"/>
    <col min="9" max="9" width="27.5703125" bestFit="1" customWidth="1"/>
    <col min="10" max="10" width="26" bestFit="1" customWidth="1"/>
    <col min="11" max="11" width="27.28515625" bestFit="1" customWidth="1"/>
    <col min="12" max="12" width="29.28515625" bestFit="1" customWidth="1"/>
    <col min="13" max="13" width="27.7109375" bestFit="1" customWidth="1"/>
    <col min="14" max="14" width="29.28515625" bestFit="1" customWidth="1"/>
    <col min="15" max="15" width="31.5703125" bestFit="1" customWidth="1"/>
    <col min="16" max="16" width="22" bestFit="1" customWidth="1"/>
    <col min="17" max="17" width="25.85546875" bestFit="1" customWidth="1"/>
    <col min="18" max="18" width="24.42578125" bestFit="1" customWidth="1"/>
    <col min="19" max="19" width="36.42578125" bestFit="1" customWidth="1"/>
    <col min="20" max="20" width="27.28515625" bestFit="1" customWidth="1"/>
    <col min="21" max="21" width="29.28515625" bestFit="1" customWidth="1"/>
    <col min="22" max="22" width="27.7109375" bestFit="1" customWidth="1"/>
    <col min="23" max="23" width="29.28515625" bestFit="1" customWidth="1"/>
    <col min="24" max="24" width="31.5703125" bestFit="1" customWidth="1"/>
    <col min="25" max="25" width="22" bestFit="1" customWidth="1"/>
    <col min="26" max="26" width="25.85546875" bestFit="1" customWidth="1"/>
    <col min="27" max="27" width="24.42578125" bestFit="1" customWidth="1"/>
  </cols>
  <sheetData>
    <row r="3" spans="1:11">
      <c r="A3" s="3" t="s">
        <v>0</v>
      </c>
      <c r="B3" t="s">
        <v>1</v>
      </c>
      <c r="C3" t="s">
        <v>2</v>
      </c>
      <c r="D3" t="s">
        <v>3</v>
      </c>
      <c r="E3" t="s">
        <v>4</v>
      </c>
      <c r="F3" t="s">
        <v>5</v>
      </c>
      <c r="G3" t="s">
        <v>6</v>
      </c>
      <c r="H3" t="s">
        <v>7</v>
      </c>
      <c r="I3" t="s">
        <v>8</v>
      </c>
      <c r="J3" t="s">
        <v>9</v>
      </c>
      <c r="K3" t="s">
        <v>10</v>
      </c>
    </row>
    <row r="4" spans="1:11">
      <c r="A4" s="4" t="s">
        <v>11</v>
      </c>
      <c r="B4">
        <v>26</v>
      </c>
      <c r="C4">
        <v>40</v>
      </c>
      <c r="D4">
        <v>35</v>
      </c>
      <c r="E4">
        <v>36</v>
      </c>
      <c r="F4">
        <v>36</v>
      </c>
      <c r="G4">
        <v>34</v>
      </c>
      <c r="H4">
        <v>33</v>
      </c>
      <c r="I4">
        <v>33</v>
      </c>
      <c r="J4">
        <v>30</v>
      </c>
      <c r="K4">
        <f>SUM(B4:J4)</f>
        <v>303</v>
      </c>
    </row>
    <row r="5" spans="1:11">
      <c r="A5" s="4" t="s">
        <v>12</v>
      </c>
      <c r="B5">
        <v>38</v>
      </c>
      <c r="C5">
        <v>33</v>
      </c>
      <c r="D5">
        <v>34</v>
      </c>
      <c r="E5">
        <v>37</v>
      </c>
      <c r="F5">
        <v>38</v>
      </c>
      <c r="G5">
        <v>37</v>
      </c>
      <c r="H5">
        <v>30</v>
      </c>
      <c r="I5">
        <v>30</v>
      </c>
      <c r="J5">
        <v>36</v>
      </c>
      <c r="K5">
        <f t="shared" ref="K5:K7" si="0">SUM(B5:J5)</f>
        <v>313</v>
      </c>
    </row>
    <row r="6" spans="1:11">
      <c r="A6" s="4" t="s">
        <v>13</v>
      </c>
      <c r="B6">
        <v>35</v>
      </c>
      <c r="C6">
        <v>33</v>
      </c>
      <c r="D6">
        <v>34</v>
      </c>
      <c r="E6">
        <v>28</v>
      </c>
      <c r="F6">
        <v>38</v>
      </c>
      <c r="G6">
        <v>32</v>
      </c>
      <c r="H6">
        <v>27</v>
      </c>
      <c r="I6">
        <v>33</v>
      </c>
      <c r="J6">
        <v>37</v>
      </c>
      <c r="K6">
        <f t="shared" si="0"/>
        <v>297</v>
      </c>
    </row>
    <row r="7" spans="1:11">
      <c r="A7" s="4" t="s">
        <v>10</v>
      </c>
      <c r="B7">
        <v>99</v>
      </c>
      <c r="C7">
        <v>106</v>
      </c>
      <c r="D7">
        <v>103</v>
      </c>
      <c r="E7">
        <v>101</v>
      </c>
      <c r="F7">
        <v>112</v>
      </c>
      <c r="G7">
        <v>103</v>
      </c>
      <c r="H7">
        <v>90</v>
      </c>
      <c r="I7">
        <v>96</v>
      </c>
      <c r="J7">
        <v>103</v>
      </c>
      <c r="K7">
        <f t="shared" si="0"/>
        <v>913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opLeftCell="B1" workbookViewId="0">
      <selection activeCell="I11" sqref="I11"/>
    </sheetView>
  </sheetViews>
  <sheetFormatPr defaultRowHeight="14.45"/>
  <cols>
    <col min="1" max="5" width="20" bestFit="1" customWidth="1"/>
    <col min="6" max="6" width="30.85546875" bestFit="1" customWidth="1"/>
    <col min="7" max="15" width="20" bestFit="1" customWidth="1"/>
  </cols>
  <sheetData>
    <row r="1" spans="1:15">
      <c r="A1" t="s">
        <v>14</v>
      </c>
      <c r="B1" t="s">
        <v>15</v>
      </c>
      <c r="C1" t="s">
        <v>16</v>
      </c>
      <c r="D1" t="s">
        <v>17</v>
      </c>
      <c r="E1" t="s">
        <v>18</v>
      </c>
      <c r="F1" t="s">
        <v>19</v>
      </c>
      <c r="G1" t="s">
        <v>20</v>
      </c>
      <c r="H1" t="s">
        <v>21</v>
      </c>
      <c r="I1" t="s">
        <v>22</v>
      </c>
      <c r="J1" t="s">
        <v>23</v>
      </c>
      <c r="K1" t="s">
        <v>24</v>
      </c>
      <c r="L1" t="s">
        <v>25</v>
      </c>
      <c r="M1" t="s">
        <v>26</v>
      </c>
      <c r="N1" t="s">
        <v>27</v>
      </c>
      <c r="O1" t="s">
        <v>28</v>
      </c>
    </row>
    <row r="2" spans="1:15">
      <c r="A2">
        <v>1</v>
      </c>
      <c r="B2" s="1">
        <v>45792.419282407405</v>
      </c>
      <c r="C2" s="1">
        <v>45792.419398148151</v>
      </c>
      <c r="D2" t="s">
        <v>29</v>
      </c>
      <c r="E2" t="s">
        <v>30</v>
      </c>
      <c r="F2" t="s">
        <v>11</v>
      </c>
      <c r="G2">
        <v>1</v>
      </c>
      <c r="H2">
        <v>5</v>
      </c>
      <c r="I2">
        <v>10</v>
      </c>
      <c r="J2">
        <v>5</v>
      </c>
      <c r="K2">
        <v>10</v>
      </c>
      <c r="L2">
        <v>5</v>
      </c>
      <c r="M2">
        <v>5</v>
      </c>
      <c r="N2">
        <v>5</v>
      </c>
      <c r="O2">
        <v>3</v>
      </c>
    </row>
    <row r="3" spans="1:15">
      <c r="A3">
        <v>2</v>
      </c>
      <c r="B3" s="1">
        <v>45792.419432870367</v>
      </c>
      <c r="C3" s="1">
        <v>45792.423773148148</v>
      </c>
      <c r="D3" t="s">
        <v>29</v>
      </c>
      <c r="E3" t="s">
        <v>30</v>
      </c>
      <c r="F3" t="s">
        <v>13</v>
      </c>
      <c r="G3">
        <v>6</v>
      </c>
      <c r="H3">
        <v>5</v>
      </c>
      <c r="I3">
        <v>5</v>
      </c>
      <c r="J3">
        <v>3</v>
      </c>
      <c r="K3">
        <v>10</v>
      </c>
      <c r="L3">
        <v>7</v>
      </c>
      <c r="M3">
        <v>1</v>
      </c>
      <c r="N3">
        <v>7</v>
      </c>
      <c r="O3">
        <v>7</v>
      </c>
    </row>
    <row r="4" spans="1:15">
      <c r="A4">
        <v>3</v>
      </c>
      <c r="B4" s="1">
        <v>45792.423807870371</v>
      </c>
      <c r="C4" s="1">
        <v>45792.425335648149</v>
      </c>
      <c r="D4" t="s">
        <v>29</v>
      </c>
      <c r="E4" t="s">
        <v>30</v>
      </c>
      <c r="F4" t="s">
        <v>12</v>
      </c>
      <c r="G4">
        <v>10</v>
      </c>
      <c r="H4">
        <v>8</v>
      </c>
      <c r="I4">
        <v>7</v>
      </c>
      <c r="J4">
        <v>6</v>
      </c>
      <c r="K4">
        <v>10</v>
      </c>
      <c r="L4">
        <v>8</v>
      </c>
      <c r="M4">
        <v>5</v>
      </c>
      <c r="N4">
        <v>7</v>
      </c>
      <c r="O4">
        <v>8</v>
      </c>
    </row>
    <row r="5" spans="1:15">
      <c r="A5">
        <v>4</v>
      </c>
      <c r="B5" s="1">
        <v>45792.473958333336</v>
      </c>
      <c r="C5" s="1">
        <v>45792.474826388891</v>
      </c>
      <c r="D5" t="s">
        <v>31</v>
      </c>
      <c r="E5" t="s">
        <v>32</v>
      </c>
      <c r="F5" t="s">
        <v>13</v>
      </c>
      <c r="G5">
        <v>9</v>
      </c>
      <c r="H5">
        <v>9</v>
      </c>
      <c r="I5">
        <v>9</v>
      </c>
      <c r="J5">
        <v>9</v>
      </c>
      <c r="K5">
        <v>9</v>
      </c>
      <c r="L5">
        <v>9</v>
      </c>
      <c r="M5">
        <v>9</v>
      </c>
      <c r="N5">
        <v>9</v>
      </c>
      <c r="O5">
        <v>9</v>
      </c>
    </row>
    <row r="6" spans="1:15">
      <c r="A6">
        <v>5</v>
      </c>
      <c r="B6" s="1">
        <v>45792.474918981483</v>
      </c>
      <c r="C6" s="1">
        <v>45792.47556712963</v>
      </c>
      <c r="D6" t="s">
        <v>31</v>
      </c>
      <c r="E6" t="s">
        <v>32</v>
      </c>
      <c r="F6" t="s">
        <v>11</v>
      </c>
      <c r="G6">
        <v>7</v>
      </c>
      <c r="H6">
        <v>10</v>
      </c>
      <c r="I6">
        <v>7</v>
      </c>
      <c r="J6">
        <v>9</v>
      </c>
      <c r="K6">
        <v>7</v>
      </c>
      <c r="L6">
        <v>7</v>
      </c>
      <c r="M6">
        <v>8</v>
      </c>
      <c r="N6">
        <v>8</v>
      </c>
      <c r="O6">
        <v>7</v>
      </c>
    </row>
    <row r="7" spans="1:15">
      <c r="A7">
        <v>6</v>
      </c>
      <c r="B7" s="1">
        <v>45792.475648148145</v>
      </c>
      <c r="C7" s="1">
        <v>45792.476076388892</v>
      </c>
      <c r="D7" t="s">
        <v>31</v>
      </c>
      <c r="E7" t="s">
        <v>32</v>
      </c>
      <c r="F7" t="s">
        <v>12</v>
      </c>
      <c r="G7">
        <v>6</v>
      </c>
      <c r="H7">
        <v>6</v>
      </c>
      <c r="I7">
        <v>8</v>
      </c>
      <c r="J7">
        <v>9</v>
      </c>
      <c r="K7">
        <v>8</v>
      </c>
      <c r="L7">
        <v>8</v>
      </c>
      <c r="M7">
        <v>9</v>
      </c>
      <c r="N7">
        <v>7</v>
      </c>
      <c r="O7">
        <v>8</v>
      </c>
    </row>
    <row r="8" spans="1:15">
      <c r="A8">
        <v>10</v>
      </c>
      <c r="B8" s="1">
        <v>45793.742337962962</v>
      </c>
      <c r="C8" s="1">
        <v>45793.74596064815</v>
      </c>
      <c r="D8" t="s">
        <v>33</v>
      </c>
      <c r="E8" t="s">
        <v>34</v>
      </c>
      <c r="F8" t="s">
        <v>13</v>
      </c>
      <c r="G8">
        <v>6</v>
      </c>
      <c r="H8">
        <v>6</v>
      </c>
      <c r="I8">
        <v>6</v>
      </c>
      <c r="J8">
        <v>5</v>
      </c>
      <c r="K8">
        <v>5</v>
      </c>
      <c r="L8">
        <v>6</v>
      </c>
      <c r="M8">
        <v>6</v>
      </c>
      <c r="N8">
        <v>5</v>
      </c>
      <c r="O8">
        <v>6</v>
      </c>
    </row>
    <row r="9" spans="1:15">
      <c r="A9">
        <v>11</v>
      </c>
      <c r="B9" s="1">
        <v>45796.660104166702</v>
      </c>
      <c r="C9" s="1">
        <v>45796.6619444444</v>
      </c>
      <c r="D9" s="2" t="s">
        <v>35</v>
      </c>
      <c r="E9" s="2" t="s">
        <v>36</v>
      </c>
      <c r="F9" s="2" t="s">
        <v>11</v>
      </c>
      <c r="G9">
        <v>3</v>
      </c>
      <c r="H9">
        <v>8</v>
      </c>
      <c r="I9">
        <v>3</v>
      </c>
      <c r="J9">
        <v>6</v>
      </c>
      <c r="K9">
        <v>5</v>
      </c>
      <c r="L9">
        <v>6</v>
      </c>
      <c r="M9">
        <v>5</v>
      </c>
      <c r="N9">
        <v>5</v>
      </c>
      <c r="O9">
        <v>5</v>
      </c>
    </row>
    <row r="10" spans="1:15">
      <c r="A10">
        <v>12</v>
      </c>
      <c r="B10" s="1">
        <v>45796.688067129602</v>
      </c>
      <c r="C10" s="1">
        <v>45796.689768518503</v>
      </c>
      <c r="D10" s="2" t="s">
        <v>33</v>
      </c>
      <c r="E10" s="2" t="s">
        <v>34</v>
      </c>
      <c r="F10" s="2" t="s">
        <v>11</v>
      </c>
      <c r="G10">
        <v>6</v>
      </c>
      <c r="H10">
        <v>7</v>
      </c>
      <c r="I10">
        <v>6</v>
      </c>
      <c r="J10">
        <v>7</v>
      </c>
      <c r="K10">
        <v>5</v>
      </c>
      <c r="L10">
        <v>6</v>
      </c>
      <c r="M10">
        <v>7</v>
      </c>
      <c r="N10">
        <v>7</v>
      </c>
      <c r="O10">
        <v>6</v>
      </c>
    </row>
    <row r="11" spans="1:15">
      <c r="A11">
        <v>13</v>
      </c>
      <c r="B11" s="1">
        <v>45796.6898842593</v>
      </c>
      <c r="C11" s="1">
        <v>45796.691030092603</v>
      </c>
      <c r="D11" s="2" t="s">
        <v>33</v>
      </c>
      <c r="E11" s="2" t="s">
        <v>34</v>
      </c>
      <c r="F11" s="2" t="s">
        <v>12</v>
      </c>
      <c r="G11">
        <v>5</v>
      </c>
      <c r="H11">
        <v>6</v>
      </c>
      <c r="I11">
        <v>5</v>
      </c>
      <c r="J11">
        <v>6</v>
      </c>
      <c r="K11">
        <v>6</v>
      </c>
      <c r="L11">
        <v>5</v>
      </c>
      <c r="M11">
        <v>5</v>
      </c>
      <c r="N11">
        <v>5</v>
      </c>
      <c r="O11">
        <v>6</v>
      </c>
    </row>
    <row r="12" spans="1:15">
      <c r="A12">
        <v>14</v>
      </c>
      <c r="B12" s="1">
        <v>45797.417905092603</v>
      </c>
      <c r="C12" s="1">
        <v>45797.426805555602</v>
      </c>
      <c r="D12" s="2" t="s">
        <v>35</v>
      </c>
      <c r="E12" s="2" t="s">
        <v>36</v>
      </c>
      <c r="F12" s="2" t="s">
        <v>12</v>
      </c>
      <c r="G12">
        <v>8</v>
      </c>
      <c r="H12">
        <v>8</v>
      </c>
      <c r="I12">
        <v>7</v>
      </c>
      <c r="J12">
        <v>8</v>
      </c>
      <c r="K12">
        <v>8</v>
      </c>
      <c r="L12">
        <v>9</v>
      </c>
      <c r="M12">
        <v>8</v>
      </c>
      <c r="N12">
        <v>7</v>
      </c>
      <c r="O12">
        <v>8</v>
      </c>
    </row>
    <row r="13" spans="1:15">
      <c r="A13">
        <v>15</v>
      </c>
      <c r="B13" s="1">
        <v>45797.434178240699</v>
      </c>
      <c r="C13" s="1">
        <v>45797.435393518499</v>
      </c>
      <c r="D13" s="2" t="s">
        <v>35</v>
      </c>
      <c r="E13" s="2" t="s">
        <v>36</v>
      </c>
      <c r="F13" s="2" t="s">
        <v>13</v>
      </c>
      <c r="G13">
        <v>6</v>
      </c>
      <c r="H13">
        <v>6</v>
      </c>
      <c r="I13">
        <v>6</v>
      </c>
      <c r="J13">
        <v>5</v>
      </c>
      <c r="K13">
        <v>6</v>
      </c>
      <c r="L13">
        <v>4</v>
      </c>
      <c r="M13">
        <v>6</v>
      </c>
      <c r="N13">
        <v>5</v>
      </c>
      <c r="O13">
        <v>6</v>
      </c>
    </row>
    <row r="14" spans="1:15">
      <c r="A14">
        <v>16</v>
      </c>
      <c r="B14" s="1">
        <v>45797.455138888901</v>
      </c>
      <c r="C14" s="1">
        <v>45797.457638888904</v>
      </c>
      <c r="D14" s="2" t="s">
        <v>37</v>
      </c>
      <c r="E14" s="2" t="s">
        <v>38</v>
      </c>
      <c r="F14" s="2" t="s">
        <v>11</v>
      </c>
      <c r="G14">
        <v>9</v>
      </c>
      <c r="H14">
        <v>10</v>
      </c>
      <c r="I14">
        <v>9</v>
      </c>
      <c r="J14">
        <v>9</v>
      </c>
      <c r="K14">
        <v>10</v>
      </c>
      <c r="L14">
        <v>10</v>
      </c>
      <c r="M14">
        <v>9</v>
      </c>
      <c r="N14">
        <v>10</v>
      </c>
      <c r="O14">
        <v>9</v>
      </c>
    </row>
    <row r="15" spans="1:15">
      <c r="A15">
        <v>17</v>
      </c>
      <c r="B15" s="1">
        <v>45797.457673611098</v>
      </c>
      <c r="C15" s="1">
        <v>45797.458159722199</v>
      </c>
      <c r="D15" s="2" t="s">
        <v>37</v>
      </c>
      <c r="E15" s="2" t="s">
        <v>38</v>
      </c>
      <c r="F15" s="2" t="s">
        <v>12</v>
      </c>
      <c r="G15">
        <v>7</v>
      </c>
      <c r="H15">
        <v>8</v>
      </c>
      <c r="I15">
        <v>9</v>
      </c>
      <c r="J15">
        <v>8</v>
      </c>
      <c r="K15">
        <v>8</v>
      </c>
      <c r="L15">
        <v>8</v>
      </c>
      <c r="M15">
        <v>4</v>
      </c>
      <c r="N15">
        <v>5</v>
      </c>
      <c r="O15">
        <v>6</v>
      </c>
    </row>
    <row r="16" spans="1:15">
      <c r="A16">
        <v>18</v>
      </c>
      <c r="B16" s="1">
        <v>45797.458182870403</v>
      </c>
      <c r="C16" s="1">
        <v>45797.458437499998</v>
      </c>
      <c r="D16" s="2" t="s">
        <v>37</v>
      </c>
      <c r="E16" s="2" t="s">
        <v>38</v>
      </c>
      <c r="F16" s="2" t="s">
        <v>13</v>
      </c>
      <c r="G16">
        <v>8</v>
      </c>
      <c r="H16">
        <v>7</v>
      </c>
      <c r="I16">
        <v>8</v>
      </c>
      <c r="J16">
        <v>6</v>
      </c>
      <c r="K16">
        <v>8</v>
      </c>
      <c r="L16">
        <v>6</v>
      </c>
      <c r="M16">
        <v>5</v>
      </c>
      <c r="N16">
        <v>6</v>
      </c>
      <c r="O16">
        <v>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Temitope Aribisala</cp:lastModifiedBy>
  <cp:revision/>
  <dcterms:created xsi:type="dcterms:W3CDTF">2025-05-19T13:44:07Z</dcterms:created>
  <dcterms:modified xsi:type="dcterms:W3CDTF">2025-05-20T16:57:46Z</dcterms:modified>
  <cp:category/>
  <cp:contentStatus/>
</cp:coreProperties>
</file>