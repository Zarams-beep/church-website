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defaultThemeVersion="166925"/>
  <mc:AlternateContent xmlns:mc="http://schemas.openxmlformats.org/markup-compatibility/2006">
    <mc:Choice Requires="x15">
      <x15ac:absPath xmlns:x15ac="http://schemas.microsoft.com/office/spreadsheetml/2010/11/ac" url="https://sohcahtoaholdings-my.sharepoint.com/personal/temitope_aribisala_sohcahtoalimited_com/Documents/"/>
    </mc:Choice>
  </mc:AlternateContent>
  <xr:revisionPtr revIDLastSave="0" documentId="8_{356B94DD-6B2F-4BF8-A246-4750F750BA3B}" xr6:coauthVersionLast="47" xr6:coauthVersionMax="47" xr10:uidLastSave="{00000000-0000-0000-0000-000000000000}"/>
  <bookViews>
    <workbookView xWindow="-108" yWindow="-108" windowWidth="23256" windowHeight="12456" firstSheet="3" activeTab="4" xr2:uid="{00000000-000D-0000-FFFF-FFFF00000000}"/>
  </bookViews>
  <sheets>
    <sheet name=" OLD HR AND ADMIN BUDGET" sheetId="13" r:id="rId1"/>
    <sheet name="Comments and Notes (2)Old" sheetId="11" r:id="rId2"/>
    <sheet name="Input Worksheet (2) Old" sheetId="10" r:id="rId3"/>
    <sheet name="HR AND ADMIN BUDGET" sheetId="1" r:id="rId4"/>
    <sheet name="Input Worksheet" sheetId="7" r:id="rId5"/>
    <sheet name="Comments and Notes" sheetId="6" r:id="rId6"/>
    <sheet name="Employer's Pension (New Staff)" sheetId="9" r:id="rId7"/>
    <sheet name="Capital Expenditure"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4" i="1" l="1"/>
  <c r="D14" i="1"/>
  <c r="E14" i="1"/>
  <c r="F14" i="1"/>
  <c r="G14" i="1"/>
  <c r="H14" i="1"/>
  <c r="I14" i="1"/>
  <c r="J14" i="1"/>
  <c r="K14" i="1"/>
  <c r="L14" i="1"/>
  <c r="M14" i="1"/>
  <c r="N14" i="1"/>
  <c r="O85" i="7"/>
  <c r="D86" i="7"/>
  <c r="E86" i="7"/>
  <c r="F86" i="7"/>
  <c r="G86" i="7"/>
  <c r="I86" i="7"/>
  <c r="J86" i="7"/>
  <c r="K86" i="7"/>
  <c r="L86" i="7"/>
  <c r="M86" i="7"/>
  <c r="N86" i="7"/>
  <c r="H70" i="7"/>
  <c r="K70" i="7" s="1"/>
  <c r="E70" i="7"/>
  <c r="C69" i="7"/>
  <c r="K65" i="7"/>
  <c r="H65" i="7"/>
  <c r="E65" i="7"/>
  <c r="J64" i="7"/>
  <c r="K64" i="7"/>
  <c r="L64" i="7"/>
  <c r="M64" i="7"/>
  <c r="N64" i="7"/>
  <c r="I64" i="7"/>
  <c r="G64" i="7"/>
  <c r="H64" i="7"/>
  <c r="F64" i="7"/>
  <c r="E64" i="7"/>
  <c r="D64" i="7"/>
  <c r="C64" i="7"/>
  <c r="G58" i="7"/>
  <c r="H58" i="7"/>
  <c r="I58" i="7" s="1"/>
  <c r="J58" i="7" s="1"/>
  <c r="K58" i="7" s="1"/>
  <c r="F58" i="7"/>
  <c r="I59" i="7"/>
  <c r="J59" i="7"/>
  <c r="K59" i="7"/>
  <c r="L59" i="7"/>
  <c r="M59" i="7"/>
  <c r="N59" i="7"/>
  <c r="H59" i="7"/>
  <c r="E59" i="7"/>
  <c r="F59" i="7"/>
  <c r="G59" i="7"/>
  <c r="D59" i="7"/>
  <c r="C59" i="7"/>
  <c r="K53" i="7"/>
  <c r="J53" i="7"/>
  <c r="H53" i="7"/>
  <c r="E53" i="7"/>
  <c r="I34" i="7"/>
  <c r="E34" i="7"/>
  <c r="F34" i="7"/>
  <c r="D34" i="7"/>
  <c r="C34" i="7"/>
  <c r="G34" i="7"/>
  <c r="H34" i="7"/>
  <c r="J34" i="7"/>
  <c r="K34" i="7"/>
  <c r="L34" i="7"/>
  <c r="M34" i="7"/>
  <c r="N34" i="7"/>
  <c r="E33" i="7"/>
  <c r="D33" i="7"/>
  <c r="C33" i="7"/>
  <c r="E32" i="7"/>
  <c r="G32" i="7" s="1"/>
  <c r="D32" i="7"/>
  <c r="C32" i="7"/>
  <c r="C27" i="7"/>
  <c r="F24" i="7"/>
  <c r="I24" i="7" s="1"/>
  <c r="E24" i="7"/>
  <c r="D24" i="7"/>
  <c r="C24" i="7"/>
  <c r="J20" i="7"/>
  <c r="K20" i="7"/>
  <c r="L20" i="7"/>
  <c r="M20" i="7"/>
  <c r="N20" i="7"/>
  <c r="I20" i="7"/>
  <c r="G20" i="7"/>
  <c r="H20" i="7"/>
  <c r="F20" i="7"/>
  <c r="E20" i="7"/>
  <c r="D20" i="7"/>
  <c r="C20" i="7"/>
  <c r="F18" i="7"/>
  <c r="I18" i="7" s="1"/>
  <c r="E18" i="7"/>
  <c r="E17" i="7"/>
  <c r="D18" i="7"/>
  <c r="D17" i="7"/>
  <c r="C17" i="7"/>
  <c r="G13" i="7"/>
  <c r="H13" i="7"/>
  <c r="I13" i="7"/>
  <c r="J13" i="7"/>
  <c r="K13" i="7"/>
  <c r="L13" i="7"/>
  <c r="M13" i="7"/>
  <c r="N13" i="7"/>
  <c r="F13" i="7"/>
  <c r="C12" i="7"/>
  <c r="H10" i="7"/>
  <c r="N10" i="7"/>
  <c r="K10" i="7"/>
  <c r="E10" i="7"/>
  <c r="C11" i="7"/>
  <c r="I11" i="7"/>
  <c r="F11" i="7"/>
  <c r="E11" i="7"/>
  <c r="D11" i="7"/>
  <c r="L6" i="7"/>
  <c r="I8" i="7"/>
  <c r="H32" i="7" l="1"/>
  <c r="J32" i="7" s="1"/>
  <c r="F32" i="7"/>
  <c r="M58" i="7"/>
  <c r="L58" i="7"/>
  <c r="N58" i="7"/>
  <c r="I32" i="7"/>
  <c r="K32" i="7"/>
  <c r="G53" i="7"/>
  <c r="D4" i="7"/>
  <c r="E4" i="7" s="1"/>
  <c r="F4" i="7" s="1"/>
  <c r="G4" i="7" s="1"/>
  <c r="H4" i="7" s="1"/>
  <c r="I4" i="7" s="1"/>
  <c r="J4" i="7" s="1"/>
  <c r="K4" i="7" s="1"/>
  <c r="L4" i="7" s="1"/>
  <c r="M4" i="7" s="1"/>
  <c r="N4" i="7" s="1"/>
  <c r="N7" i="7" s="1"/>
  <c r="M32" i="7" l="1"/>
  <c r="N32" i="7"/>
  <c r="L32" i="7"/>
  <c r="I33" i="7"/>
  <c r="J33" i="7"/>
  <c r="K33" i="7"/>
  <c r="L33" i="7"/>
  <c r="M33" i="7"/>
  <c r="N33" i="7"/>
  <c r="G33" i="7"/>
  <c r="H33" i="7"/>
  <c r="F33" i="7"/>
  <c r="G60" i="7"/>
  <c r="H60" i="7"/>
  <c r="J60" i="7" s="1"/>
  <c r="F60" i="7"/>
  <c r="E48" i="7"/>
  <c r="H48" i="7" s="1"/>
  <c r="K48" i="7" s="1"/>
  <c r="N48" i="7" s="1"/>
  <c r="L40" i="7"/>
  <c r="N27" i="7"/>
  <c r="K54" i="7"/>
  <c r="K6" i="1" s="1"/>
  <c r="C53" i="7"/>
  <c r="D53" i="7"/>
  <c r="N53" i="7"/>
  <c r="M53" i="7"/>
  <c r="L53" i="7"/>
  <c r="L54" i="7" s="1"/>
  <c r="L6" i="1" s="1"/>
  <c r="I53" i="7"/>
  <c r="F53" i="7"/>
  <c r="C84" i="7"/>
  <c r="O83" i="7"/>
  <c r="N80" i="7"/>
  <c r="N84" i="10"/>
  <c r="L79" i="7"/>
  <c r="D71" i="7"/>
  <c r="E71" i="7" s="1"/>
  <c r="F71" i="7" s="1"/>
  <c r="G71" i="7" s="1"/>
  <c r="H71" i="7" s="1"/>
  <c r="I71" i="7" s="1"/>
  <c r="N70" i="7"/>
  <c r="E69" i="7"/>
  <c r="G69" i="7" s="1"/>
  <c r="I69" i="7" s="1"/>
  <c r="K69" i="7" s="1"/>
  <c r="M69" i="7" s="1"/>
  <c r="G26" i="7"/>
  <c r="G32" i="10"/>
  <c r="L25" i="7"/>
  <c r="F17" i="7"/>
  <c r="I17" i="7" s="1"/>
  <c r="N9" i="7"/>
  <c r="I5" i="7"/>
  <c r="J5" i="7"/>
  <c r="L5" i="7"/>
  <c r="M5" i="7"/>
  <c r="N5" i="7"/>
  <c r="K5" i="7"/>
  <c r="H5" i="7"/>
  <c r="L31" i="10"/>
  <c r="N57" i="7"/>
  <c r="K57" i="7"/>
  <c r="H57" i="7"/>
  <c r="E57" i="7"/>
  <c r="D74" i="10"/>
  <c r="F74" i="10"/>
  <c r="H74" i="10" s="1"/>
  <c r="J74" i="10" s="1"/>
  <c r="C75" i="10"/>
  <c r="E75" i="10"/>
  <c r="C76" i="10"/>
  <c r="H84" i="7" l="1"/>
  <c r="H86" i="7" s="1"/>
  <c r="C86" i="7"/>
  <c r="I35" i="7"/>
  <c r="I16" i="1" s="1"/>
  <c r="K35" i="7"/>
  <c r="K16" i="1" s="1"/>
  <c r="G35" i="7"/>
  <c r="G16" i="1" s="1"/>
  <c r="H35" i="7"/>
  <c r="H16" i="1" s="1"/>
  <c r="I60" i="7"/>
  <c r="K60" i="7"/>
  <c r="O32" i="7"/>
  <c r="C21" i="7"/>
  <c r="C17" i="1" s="1"/>
  <c r="N71" i="7"/>
  <c r="N72" i="7" s="1"/>
  <c r="N12" i="1" s="1"/>
  <c r="M71" i="7"/>
  <c r="M72" i="7" s="1"/>
  <c r="M12" i="1" s="1"/>
  <c r="L71" i="7"/>
  <c r="L72" i="7" s="1"/>
  <c r="L12" i="1" s="1"/>
  <c r="K71" i="7"/>
  <c r="K72" i="7" s="1"/>
  <c r="K12" i="1" s="1"/>
  <c r="J71" i="7"/>
  <c r="J72" i="7" s="1"/>
  <c r="J12" i="1" s="1"/>
  <c r="G21" i="7"/>
  <c r="G17" i="1" s="1"/>
  <c r="H21" i="7"/>
  <c r="H17" i="1" s="1"/>
  <c r="D92" i="7"/>
  <c r="E92" i="7"/>
  <c r="F92" i="7"/>
  <c r="G92" i="7"/>
  <c r="H92" i="7"/>
  <c r="H10" i="1" s="1"/>
  <c r="I92" i="7"/>
  <c r="J92" i="7"/>
  <c r="K92" i="7"/>
  <c r="L92" i="7"/>
  <c r="M92" i="7"/>
  <c r="M10" i="1" s="1"/>
  <c r="N92" i="7"/>
  <c r="C92" i="7"/>
  <c r="C10" i="1" s="1"/>
  <c r="D81" i="7"/>
  <c r="D15" i="1" s="1"/>
  <c r="E81" i="7"/>
  <c r="E15" i="1" s="1"/>
  <c r="F81" i="7"/>
  <c r="F15" i="1" s="1"/>
  <c r="G81" i="7"/>
  <c r="G15" i="1" s="1"/>
  <c r="H81" i="7"/>
  <c r="H15" i="1" s="1"/>
  <c r="I81" i="7"/>
  <c r="I15" i="1" s="1"/>
  <c r="J81" i="7"/>
  <c r="J15" i="1" s="1"/>
  <c r="K81" i="7"/>
  <c r="K15" i="1" s="1"/>
  <c r="L81" i="7"/>
  <c r="L15" i="1" s="1"/>
  <c r="M81" i="7"/>
  <c r="M15" i="1" s="1"/>
  <c r="N81" i="7"/>
  <c r="N15" i="1" s="1"/>
  <c r="C81" i="7"/>
  <c r="D76" i="7"/>
  <c r="D13" i="1" s="1"/>
  <c r="E76" i="7"/>
  <c r="E13" i="1" s="1"/>
  <c r="F76" i="7"/>
  <c r="F13" i="1" s="1"/>
  <c r="G76" i="7"/>
  <c r="G13" i="1" s="1"/>
  <c r="H76" i="7"/>
  <c r="H13" i="1" s="1"/>
  <c r="I76" i="7"/>
  <c r="I13" i="1" s="1"/>
  <c r="J76" i="7"/>
  <c r="J13" i="1" s="1"/>
  <c r="K76" i="7"/>
  <c r="K13" i="1" s="1"/>
  <c r="L76" i="7"/>
  <c r="L13" i="1" s="1"/>
  <c r="M76" i="7"/>
  <c r="M13" i="1" s="1"/>
  <c r="N76" i="7"/>
  <c r="N13" i="1" s="1"/>
  <c r="C76" i="7"/>
  <c r="D72" i="7"/>
  <c r="D12" i="1" s="1"/>
  <c r="E72" i="7"/>
  <c r="E12" i="1" s="1"/>
  <c r="F72" i="7"/>
  <c r="F12" i="1" s="1"/>
  <c r="G72" i="7"/>
  <c r="G12" i="1" s="1"/>
  <c r="H72" i="7"/>
  <c r="H12" i="1" s="1"/>
  <c r="I72" i="7"/>
  <c r="I12" i="1" s="1"/>
  <c r="C72" i="7"/>
  <c r="D66" i="7"/>
  <c r="D11" i="1" s="1"/>
  <c r="E66" i="7"/>
  <c r="E11" i="1" s="1"/>
  <c r="F66" i="7"/>
  <c r="F11" i="1" s="1"/>
  <c r="G66" i="7"/>
  <c r="G11" i="1" s="1"/>
  <c r="H66" i="7"/>
  <c r="H11" i="1" s="1"/>
  <c r="I66" i="7"/>
  <c r="I11" i="1" s="1"/>
  <c r="J66" i="7"/>
  <c r="J11" i="1" s="1"/>
  <c r="K66" i="7"/>
  <c r="K11" i="1" s="1"/>
  <c r="L66" i="7"/>
  <c r="L11" i="1" s="1"/>
  <c r="M66" i="7"/>
  <c r="M11" i="1" s="1"/>
  <c r="N66" i="7"/>
  <c r="N11" i="1" s="1"/>
  <c r="C66" i="7"/>
  <c r="D61" i="7"/>
  <c r="D9" i="1" s="1"/>
  <c r="E61" i="7"/>
  <c r="E9" i="1" s="1"/>
  <c r="F61" i="7"/>
  <c r="F9" i="1" s="1"/>
  <c r="G61" i="7"/>
  <c r="G9" i="1" s="1"/>
  <c r="H61" i="7"/>
  <c r="H9" i="1" s="1"/>
  <c r="I61" i="7"/>
  <c r="I9" i="1" s="1"/>
  <c r="J61" i="7"/>
  <c r="J9" i="1" s="1"/>
  <c r="K61" i="7"/>
  <c r="K9" i="1" s="1"/>
  <c r="L61" i="7"/>
  <c r="L9" i="1" s="1"/>
  <c r="M61" i="7"/>
  <c r="M9" i="1" s="1"/>
  <c r="N61" i="7"/>
  <c r="N9" i="1" s="1"/>
  <c r="C61" i="7"/>
  <c r="C9" i="1" s="1"/>
  <c r="D54" i="7"/>
  <c r="D6" i="1" s="1"/>
  <c r="E54" i="7"/>
  <c r="E6" i="1" s="1"/>
  <c r="F54" i="7"/>
  <c r="F6" i="1" s="1"/>
  <c r="G54" i="7"/>
  <c r="G6" i="1" s="1"/>
  <c r="H54" i="7"/>
  <c r="H6" i="1" s="1"/>
  <c r="I54" i="7"/>
  <c r="I6" i="1" s="1"/>
  <c r="J54" i="7"/>
  <c r="J6" i="1" s="1"/>
  <c r="M54" i="7"/>
  <c r="M6" i="1" s="1"/>
  <c r="N54" i="7"/>
  <c r="N6" i="1" s="1"/>
  <c r="C54" i="7"/>
  <c r="C6" i="1" s="1"/>
  <c r="D49" i="7"/>
  <c r="D5" i="1" s="1"/>
  <c r="E49" i="7"/>
  <c r="E5" i="1" s="1"/>
  <c r="F49" i="7"/>
  <c r="F5" i="1" s="1"/>
  <c r="G49" i="7"/>
  <c r="G5" i="1" s="1"/>
  <c r="H49" i="7"/>
  <c r="H5" i="1" s="1"/>
  <c r="I49" i="7"/>
  <c r="I5" i="1" s="1"/>
  <c r="J49" i="7"/>
  <c r="J5" i="1" s="1"/>
  <c r="K49" i="7"/>
  <c r="K5" i="1" s="1"/>
  <c r="L49" i="7"/>
  <c r="L5" i="1" s="1"/>
  <c r="M49" i="7"/>
  <c r="M5" i="1" s="1"/>
  <c r="N49" i="7"/>
  <c r="N5" i="1" s="1"/>
  <c r="C49" i="7"/>
  <c r="C5" i="1" s="1"/>
  <c r="D42" i="7"/>
  <c r="D8" i="1" s="1"/>
  <c r="E42" i="7"/>
  <c r="E8" i="1" s="1"/>
  <c r="F42" i="7"/>
  <c r="F8" i="1" s="1"/>
  <c r="G42" i="7"/>
  <c r="G8" i="1" s="1"/>
  <c r="H42" i="7"/>
  <c r="H8" i="1" s="1"/>
  <c r="I42" i="7"/>
  <c r="I8" i="1" s="1"/>
  <c r="J42" i="7"/>
  <c r="J8" i="1" s="1"/>
  <c r="K42" i="7"/>
  <c r="K8" i="1" s="1"/>
  <c r="L42" i="7"/>
  <c r="L8" i="1" s="1"/>
  <c r="M42" i="7"/>
  <c r="M8" i="1" s="1"/>
  <c r="N42" i="7"/>
  <c r="N8" i="1" s="1"/>
  <c r="C42" i="7"/>
  <c r="C8" i="1" s="1"/>
  <c r="J35" i="7"/>
  <c r="J16" i="1" s="1"/>
  <c r="D35" i="7"/>
  <c r="D16" i="1" s="1"/>
  <c r="E35" i="7"/>
  <c r="E16" i="1" s="1"/>
  <c r="F35" i="7"/>
  <c r="F16" i="1" s="1"/>
  <c r="C35" i="7"/>
  <c r="M28" i="7"/>
  <c r="M7" i="1" s="1"/>
  <c r="N28" i="7"/>
  <c r="N7" i="1" s="1"/>
  <c r="I28" i="7"/>
  <c r="I7" i="1" s="1"/>
  <c r="J28" i="7"/>
  <c r="J7" i="1" s="1"/>
  <c r="K28" i="7"/>
  <c r="K7" i="1" s="1"/>
  <c r="L28" i="7"/>
  <c r="L7" i="1" s="1"/>
  <c r="D28" i="7"/>
  <c r="D7" i="1" s="1"/>
  <c r="E28" i="7"/>
  <c r="E7" i="1" s="1"/>
  <c r="F28" i="7"/>
  <c r="F7" i="1" s="1"/>
  <c r="G28" i="7"/>
  <c r="G7" i="1" s="1"/>
  <c r="H28" i="7"/>
  <c r="H7" i="1" s="1"/>
  <c r="C28" i="7"/>
  <c r="C7" i="1" s="1"/>
  <c r="E21" i="7"/>
  <c r="E17" i="1" s="1"/>
  <c r="F21" i="7"/>
  <c r="F17" i="1" s="1"/>
  <c r="O84" i="7" l="1"/>
  <c r="O86" i="7" s="1"/>
  <c r="O6" i="1"/>
  <c r="N60" i="7"/>
  <c r="L60" i="7"/>
  <c r="M60" i="7"/>
  <c r="O9" i="1"/>
  <c r="O10" i="1"/>
  <c r="O7" i="1"/>
  <c r="O8" i="1"/>
  <c r="O5" i="1"/>
  <c r="L35" i="7"/>
  <c r="L16" i="1" s="1"/>
  <c r="M35" i="7"/>
  <c r="M16" i="1" s="1"/>
  <c r="N35" i="7"/>
  <c r="N16" i="1" s="1"/>
  <c r="J18" i="7"/>
  <c r="J21" i="7" s="1"/>
  <c r="J17" i="1" s="1"/>
  <c r="K18" i="7"/>
  <c r="I21" i="7"/>
  <c r="I17" i="1" s="1"/>
  <c r="N16" i="13"/>
  <c r="O80" i="7"/>
  <c r="O79" i="7"/>
  <c r="O19" i="7"/>
  <c r="O59" i="7"/>
  <c r="O14" i="13"/>
  <c r="N93" i="10"/>
  <c r="M93" i="10"/>
  <c r="L93" i="10"/>
  <c r="K93" i="10"/>
  <c r="J93" i="10"/>
  <c r="I93" i="10"/>
  <c r="H93" i="10"/>
  <c r="G93" i="10"/>
  <c r="F93" i="10"/>
  <c r="E93" i="10"/>
  <c r="D93" i="10"/>
  <c r="C93" i="10"/>
  <c r="N92" i="10"/>
  <c r="M92" i="10"/>
  <c r="L92" i="10"/>
  <c r="K92" i="10"/>
  <c r="J92" i="10"/>
  <c r="I92" i="10"/>
  <c r="H92" i="10"/>
  <c r="G92" i="10"/>
  <c r="F92" i="10"/>
  <c r="E92" i="10"/>
  <c r="D92" i="10"/>
  <c r="C92" i="10"/>
  <c r="E91" i="10"/>
  <c r="D91" i="10"/>
  <c r="C91" i="10"/>
  <c r="C94" i="10" s="1"/>
  <c r="H90" i="10"/>
  <c r="K90" i="10" s="1"/>
  <c r="G90" i="10"/>
  <c r="J90" i="10" s="1"/>
  <c r="F90" i="10"/>
  <c r="O89" i="10"/>
  <c r="N87" i="10"/>
  <c r="O86" i="10"/>
  <c r="N85" i="10"/>
  <c r="M85" i="10"/>
  <c r="L85" i="10"/>
  <c r="K85" i="10"/>
  <c r="J85" i="10"/>
  <c r="I85" i="10"/>
  <c r="H85" i="10"/>
  <c r="G85" i="10"/>
  <c r="F85" i="10"/>
  <c r="E85" i="10"/>
  <c r="D85" i="10"/>
  <c r="C85" i="10"/>
  <c r="O84" i="10"/>
  <c r="O85" i="10" s="1"/>
  <c r="N81" i="10"/>
  <c r="M81" i="10"/>
  <c r="L81" i="10"/>
  <c r="K81" i="10"/>
  <c r="J81" i="10"/>
  <c r="I81" i="10"/>
  <c r="H81" i="10"/>
  <c r="G81" i="10"/>
  <c r="F81" i="10"/>
  <c r="E81" i="10"/>
  <c r="D81" i="10"/>
  <c r="C81" i="10"/>
  <c r="O80" i="10"/>
  <c r="O81" i="10" s="1"/>
  <c r="E76" i="10"/>
  <c r="D76" i="10"/>
  <c r="G76" i="10" s="1"/>
  <c r="F76" i="10"/>
  <c r="I76" i="10" s="1"/>
  <c r="O75" i="10"/>
  <c r="O70" i="10"/>
  <c r="N69" i="10"/>
  <c r="N71" i="10" s="1"/>
  <c r="M69" i="10"/>
  <c r="M71" i="10" s="1"/>
  <c r="L69" i="10"/>
  <c r="L71" i="10" s="1"/>
  <c r="K69" i="10"/>
  <c r="K71" i="10" s="1"/>
  <c r="J69" i="10"/>
  <c r="J71" i="10" s="1"/>
  <c r="I69" i="10"/>
  <c r="I71" i="10" s="1"/>
  <c r="H69" i="10"/>
  <c r="H71" i="10" s="1"/>
  <c r="G69" i="10"/>
  <c r="G71" i="10" s="1"/>
  <c r="F69" i="10"/>
  <c r="F71" i="10" s="1"/>
  <c r="E69" i="10"/>
  <c r="E71" i="10" s="1"/>
  <c r="D69" i="10"/>
  <c r="D71" i="10" s="1"/>
  <c r="C69" i="10"/>
  <c r="C71" i="10" s="1"/>
  <c r="E65" i="10"/>
  <c r="H65" i="10" s="1"/>
  <c r="K65" i="10" s="1"/>
  <c r="N65" i="10" s="1"/>
  <c r="D65" i="10"/>
  <c r="C65" i="10"/>
  <c r="F65" i="10" s="1"/>
  <c r="I65" i="10" s="1"/>
  <c r="L65" i="10" s="1"/>
  <c r="E64" i="10"/>
  <c r="H64" i="10" s="1"/>
  <c r="K64" i="10" s="1"/>
  <c r="N64" i="10" s="1"/>
  <c r="D64" i="10"/>
  <c r="C64" i="10"/>
  <c r="F64" i="10" s="1"/>
  <c r="I64" i="10" s="1"/>
  <c r="L64" i="10" s="1"/>
  <c r="E63" i="10"/>
  <c r="E66" i="10" s="1"/>
  <c r="D63" i="10"/>
  <c r="C63" i="10"/>
  <c r="N60" i="10"/>
  <c r="M60" i="10"/>
  <c r="L60" i="10"/>
  <c r="K60" i="10"/>
  <c r="J60" i="10"/>
  <c r="I60" i="10"/>
  <c r="H60" i="10"/>
  <c r="G60" i="10"/>
  <c r="F60" i="10"/>
  <c r="E60" i="10"/>
  <c r="D60" i="10"/>
  <c r="C60" i="10"/>
  <c r="O59" i="10"/>
  <c r="O60" i="10" s="1"/>
  <c r="N55" i="10"/>
  <c r="M55" i="10"/>
  <c r="L55" i="10"/>
  <c r="K55" i="10"/>
  <c r="J55" i="10"/>
  <c r="I55" i="10"/>
  <c r="H55" i="10"/>
  <c r="F55" i="10"/>
  <c r="E55" i="10"/>
  <c r="D55" i="10"/>
  <c r="C55" i="10"/>
  <c r="C54" i="10"/>
  <c r="F54" i="10" s="1"/>
  <c r="O53" i="10"/>
  <c r="G52" i="10"/>
  <c r="N48" i="10"/>
  <c r="M48" i="10"/>
  <c r="L48" i="10"/>
  <c r="E47" i="10"/>
  <c r="O47" i="10" s="1"/>
  <c r="D46" i="10"/>
  <c r="O46" i="10" s="1"/>
  <c r="E45" i="10"/>
  <c r="D45" i="10"/>
  <c r="C45" i="10"/>
  <c r="O40" i="10"/>
  <c r="E39" i="10"/>
  <c r="D39" i="10"/>
  <c r="C39" i="10"/>
  <c r="E38" i="10"/>
  <c r="H38" i="10" s="1"/>
  <c r="D38" i="10"/>
  <c r="C38" i="10"/>
  <c r="M34" i="10"/>
  <c r="K34" i="10"/>
  <c r="J34" i="10"/>
  <c r="I34" i="10"/>
  <c r="F34" i="10"/>
  <c r="E34" i="10"/>
  <c r="C34" i="10"/>
  <c r="N33" i="10"/>
  <c r="N34" i="10" s="1"/>
  <c r="D33" i="10"/>
  <c r="D34" i="10" s="1"/>
  <c r="G34" i="10"/>
  <c r="O31" i="10"/>
  <c r="H30" i="10"/>
  <c r="H34" i="10" s="1"/>
  <c r="M27" i="10"/>
  <c r="J27" i="10"/>
  <c r="G27" i="10"/>
  <c r="F27" i="10"/>
  <c r="D27" i="10"/>
  <c r="O26" i="10"/>
  <c r="C25" i="10"/>
  <c r="O25" i="10" s="1"/>
  <c r="C24" i="10"/>
  <c r="O24" i="10" s="1"/>
  <c r="O21" i="10"/>
  <c r="O20" i="10"/>
  <c r="O19" i="10"/>
  <c r="O18" i="10"/>
  <c r="N17" i="10"/>
  <c r="I17" i="10"/>
  <c r="O17" i="10" s="1"/>
  <c r="O16" i="10"/>
  <c r="O15" i="10"/>
  <c r="N14" i="10"/>
  <c r="O14" i="10" s="1"/>
  <c r="I13" i="10"/>
  <c r="N12" i="10"/>
  <c r="L11" i="10"/>
  <c r="I11" i="10"/>
  <c r="C11" i="10"/>
  <c r="K10" i="10"/>
  <c r="K27" i="10" s="1"/>
  <c r="H10" i="10"/>
  <c r="O9" i="10"/>
  <c r="D5" i="10"/>
  <c r="N4" i="10"/>
  <c r="O4" i="10" s="1"/>
  <c r="E3" i="10"/>
  <c r="D3" i="10"/>
  <c r="C3" i="10"/>
  <c r="O41" i="7"/>
  <c r="O40" i="7"/>
  <c r="O8" i="7"/>
  <c r="C14" i="9"/>
  <c r="C16" i="9" s="1"/>
  <c r="B14" i="9"/>
  <c r="O20" i="7"/>
  <c r="F18" i="13"/>
  <c r="G18" i="13"/>
  <c r="C9" i="5"/>
  <c r="C19" i="13" s="1"/>
  <c r="O4" i="5"/>
  <c r="O5" i="5"/>
  <c r="O6" i="5"/>
  <c r="O7" i="5"/>
  <c r="O8" i="5"/>
  <c r="O53" i="7"/>
  <c r="O60" i="7" l="1"/>
  <c r="J18" i="13"/>
  <c r="M18" i="7"/>
  <c r="M21" i="7" s="1"/>
  <c r="N18" i="7"/>
  <c r="N21" i="7" s="1"/>
  <c r="N17" i="1" s="1"/>
  <c r="L18" i="7"/>
  <c r="K21" i="7"/>
  <c r="K17" i="1" s="1"/>
  <c r="O93" i="10"/>
  <c r="I27" i="10"/>
  <c r="D94" i="10"/>
  <c r="D48" i="10"/>
  <c r="E94" i="10"/>
  <c r="E48" i="10"/>
  <c r="O92" i="10"/>
  <c r="C27" i="10"/>
  <c r="O39" i="10"/>
  <c r="O81" i="7"/>
  <c r="F3" i="10"/>
  <c r="I3" i="10" s="1"/>
  <c r="C6" i="10"/>
  <c r="D6" i="10"/>
  <c r="G3" i="10"/>
  <c r="E6" i="10"/>
  <c r="H3" i="10"/>
  <c r="H6" i="10" s="1"/>
  <c r="H27" i="10"/>
  <c r="O10" i="10"/>
  <c r="N27" i="10"/>
  <c r="O12" i="10"/>
  <c r="F38" i="10"/>
  <c r="C41" i="10"/>
  <c r="F45" i="10"/>
  <c r="C48" i="10"/>
  <c r="G55" i="10"/>
  <c r="O52" i="10"/>
  <c r="C66" i="10"/>
  <c r="F63" i="10"/>
  <c r="D66" i="10"/>
  <c r="G63" i="10"/>
  <c r="J63" i="10" s="1"/>
  <c r="D77" i="10"/>
  <c r="F77" i="10"/>
  <c r="E77" i="10"/>
  <c r="O9" i="5"/>
  <c r="O70" i="7"/>
  <c r="I18" i="13"/>
  <c r="C18" i="13"/>
  <c r="O39" i="7"/>
  <c r="K38" i="10"/>
  <c r="H41" i="10"/>
  <c r="M63" i="10"/>
  <c r="F6" i="10"/>
  <c r="G77" i="10"/>
  <c r="J76" i="10"/>
  <c r="M76" i="10" s="1"/>
  <c r="M77" i="10" s="1"/>
  <c r="L76" i="10"/>
  <c r="I77" i="10"/>
  <c r="I54" i="10"/>
  <c r="L54" i="10" s="1"/>
  <c r="O54" i="10"/>
  <c r="I38" i="10"/>
  <c r="F41" i="10"/>
  <c r="F48" i="10"/>
  <c r="I45" i="10"/>
  <c r="I48" i="10" s="1"/>
  <c r="F66" i="10"/>
  <c r="O33" i="10"/>
  <c r="O30" i="10"/>
  <c r="D41" i="10"/>
  <c r="H63" i="10"/>
  <c r="I90" i="10"/>
  <c r="F91" i="10"/>
  <c r="I91" i="10" s="1"/>
  <c r="L91" i="10" s="1"/>
  <c r="J3" i="10"/>
  <c r="E22" i="10"/>
  <c r="L34" i="10"/>
  <c r="G38" i="10"/>
  <c r="E41" i="10"/>
  <c r="G45" i="10"/>
  <c r="I63" i="10"/>
  <c r="G65" i="10"/>
  <c r="J65" i="10" s="1"/>
  <c r="M65" i="10" s="1"/>
  <c r="H76" i="10"/>
  <c r="K76" i="10" s="1"/>
  <c r="C77" i="10"/>
  <c r="G91" i="10"/>
  <c r="K3" i="10"/>
  <c r="G5" i="10"/>
  <c r="J5" i="10" s="1"/>
  <c r="M5" i="10" s="1"/>
  <c r="O11" i="10"/>
  <c r="H45" i="10"/>
  <c r="H91" i="10"/>
  <c r="L23" i="10"/>
  <c r="O23" i="10" s="1"/>
  <c r="O69" i="10"/>
  <c r="O71" i="10" s="1"/>
  <c r="O32" i="10"/>
  <c r="G64" i="10"/>
  <c r="E18" i="13"/>
  <c r="F13" i="13"/>
  <c r="O48" i="7"/>
  <c r="O69" i="7"/>
  <c r="N18" i="13" l="1"/>
  <c r="M18" i="13"/>
  <c r="M17" i="1"/>
  <c r="O55" i="10"/>
  <c r="K91" i="10"/>
  <c r="N91" i="10" s="1"/>
  <c r="N94" i="10" s="1"/>
  <c r="H94" i="10"/>
  <c r="J91" i="10"/>
  <c r="G94" i="10"/>
  <c r="O65" i="10"/>
  <c r="H77" i="10"/>
  <c r="L27" i="10"/>
  <c r="L63" i="10"/>
  <c r="L66" i="10" s="1"/>
  <c r="I66" i="10"/>
  <c r="J64" i="10"/>
  <c r="G66" i="10"/>
  <c r="J45" i="10"/>
  <c r="J48" i="10" s="1"/>
  <c r="G48" i="10"/>
  <c r="G6" i="10"/>
  <c r="O5" i="10"/>
  <c r="K63" i="10"/>
  <c r="H66" i="10"/>
  <c r="E27" i="10"/>
  <c r="O22" i="10"/>
  <c r="O27" i="10" s="1"/>
  <c r="O34" i="10"/>
  <c r="I6" i="10"/>
  <c r="L3" i="10"/>
  <c r="L6" i="10" s="1"/>
  <c r="N38" i="10"/>
  <c r="N41" i="10" s="1"/>
  <c r="K41" i="10"/>
  <c r="N3" i="10"/>
  <c r="N6" i="10" s="1"/>
  <c r="K6" i="10"/>
  <c r="L90" i="10"/>
  <c r="I94" i="10"/>
  <c r="F94" i="10"/>
  <c r="J38" i="10"/>
  <c r="G41" i="10"/>
  <c r="K45" i="10"/>
  <c r="H48" i="10"/>
  <c r="N76" i="10"/>
  <c r="O76" i="10" s="1"/>
  <c r="K77" i="10"/>
  <c r="J6" i="10"/>
  <c r="M3" i="10"/>
  <c r="M6" i="10" s="1"/>
  <c r="I41" i="10"/>
  <c r="L38" i="10"/>
  <c r="L41" i="10" s="1"/>
  <c r="K94" i="10"/>
  <c r="H18" i="13"/>
  <c r="K18" i="13" l="1"/>
  <c r="K48" i="10"/>
  <c r="O45" i="10"/>
  <c r="O48" i="10" s="1"/>
  <c r="M91" i="10"/>
  <c r="J94" i="10"/>
  <c r="L94" i="10"/>
  <c r="O90" i="10"/>
  <c r="J77" i="10"/>
  <c r="L74" i="10"/>
  <c r="N63" i="10"/>
  <c r="K66" i="10"/>
  <c r="J41" i="10"/>
  <c r="M38" i="10"/>
  <c r="M41" i="10" s="1"/>
  <c r="G43" i="10"/>
  <c r="M64" i="10"/>
  <c r="J66" i="10"/>
  <c r="O3" i="10"/>
  <c r="O6" i="10" s="1"/>
  <c r="O7" i="7"/>
  <c r="O9" i="7"/>
  <c r="O10" i="7"/>
  <c r="O11" i="7"/>
  <c r="O12" i="7"/>
  <c r="O5" i="7"/>
  <c r="M94" i="10" l="1"/>
  <c r="O91" i="10"/>
  <c r="M66" i="10"/>
  <c r="O64" i="10"/>
  <c r="N66" i="10"/>
  <c r="O63" i="10"/>
  <c r="O66" i="10" s="1"/>
  <c r="N74" i="10"/>
  <c r="N77" i="10" s="1"/>
  <c r="L77" i="10"/>
  <c r="O38" i="10"/>
  <c r="O41" i="10" s="1"/>
  <c r="O6" i="7"/>
  <c r="O74" i="10" l="1"/>
  <c r="O77" i="10" s="1"/>
  <c r="K12" i="13"/>
  <c r="O46" i="7"/>
  <c r="O47" i="7"/>
  <c r="O87" i="7"/>
  <c r="O88" i="7"/>
  <c r="O89" i="7"/>
  <c r="O90" i="7"/>
  <c r="O91" i="7"/>
  <c r="O75" i="7"/>
  <c r="O24" i="7"/>
  <c r="O25" i="7"/>
  <c r="O26" i="7"/>
  <c r="O27" i="7"/>
  <c r="O13" i="7"/>
  <c r="O15" i="7"/>
  <c r="O17" i="7"/>
  <c r="O18" i="7"/>
  <c r="O65" i="7"/>
  <c r="O64" i="7"/>
  <c r="O58" i="7"/>
  <c r="O57" i="7"/>
  <c r="O33" i="7"/>
  <c r="O34" i="7"/>
  <c r="O4" i="7"/>
  <c r="O92" i="7" l="1"/>
  <c r="D14" i="7"/>
  <c r="D21" i="7" s="1"/>
  <c r="L16" i="7"/>
  <c r="O49" i="7"/>
  <c r="O71" i="7"/>
  <c r="O72" i="7" s="1"/>
  <c r="O76" i="7"/>
  <c r="O66" i="7"/>
  <c r="O61" i="7"/>
  <c r="O54" i="7"/>
  <c r="O42" i="7"/>
  <c r="O35" i="7"/>
  <c r="O28" i="7"/>
  <c r="L21" i="7" l="1"/>
  <c r="O16" i="7"/>
  <c r="O14" i="7"/>
  <c r="D18" i="13"/>
  <c r="D17" i="1"/>
  <c r="G17" i="13"/>
  <c r="L10" i="13"/>
  <c r="L11" i="13"/>
  <c r="L7" i="13"/>
  <c r="H17" i="13"/>
  <c r="N5" i="13"/>
  <c r="H12" i="13"/>
  <c r="K13" i="13"/>
  <c r="E7" i="13"/>
  <c r="F8" i="13"/>
  <c r="I17" i="13"/>
  <c r="D9" i="13"/>
  <c r="G5" i="13"/>
  <c r="C6" i="13"/>
  <c r="K6" i="13"/>
  <c r="F10" i="13"/>
  <c r="N10" i="13"/>
  <c r="I12" i="13"/>
  <c r="D13" i="13"/>
  <c r="L13" i="13"/>
  <c r="H15" i="13"/>
  <c r="C15" i="1"/>
  <c r="O15" i="1" s="1"/>
  <c r="C16" i="13"/>
  <c r="K16" i="13"/>
  <c r="F11" i="13"/>
  <c r="N11" i="13"/>
  <c r="I6" i="13"/>
  <c r="J13" i="13"/>
  <c r="E8" i="13"/>
  <c r="J6" i="13"/>
  <c r="J16" i="13"/>
  <c r="F7" i="13"/>
  <c r="G8" i="13"/>
  <c r="J17" i="13"/>
  <c r="E9" i="13"/>
  <c r="H5" i="13"/>
  <c r="L6" i="13"/>
  <c r="G10" i="13"/>
  <c r="J12" i="13"/>
  <c r="E13" i="13"/>
  <c r="M13" i="13"/>
  <c r="I15" i="13"/>
  <c r="D16" i="13"/>
  <c r="L16" i="13"/>
  <c r="G11" i="13"/>
  <c r="C7" i="13"/>
  <c r="D8" i="13"/>
  <c r="M5" i="13"/>
  <c r="I16" i="13"/>
  <c r="D7" i="13"/>
  <c r="F5" i="13"/>
  <c r="E11" i="13"/>
  <c r="H8" i="13"/>
  <c r="C16" i="1"/>
  <c r="O16" i="1" s="1"/>
  <c r="C17" i="13"/>
  <c r="K17" i="13"/>
  <c r="F9" i="13"/>
  <c r="E6" i="13"/>
  <c r="M6" i="13"/>
  <c r="H10" i="13"/>
  <c r="C11" i="1"/>
  <c r="O11" i="1" s="1"/>
  <c r="C12" i="13"/>
  <c r="N13" i="13"/>
  <c r="J15" i="13"/>
  <c r="E16" i="13"/>
  <c r="M16" i="13"/>
  <c r="H11" i="13"/>
  <c r="K7" i="13"/>
  <c r="E5" i="13"/>
  <c r="F15" i="13"/>
  <c r="M11" i="13"/>
  <c r="H7" i="13"/>
  <c r="D17" i="13"/>
  <c r="L17" i="13"/>
  <c r="G9" i="13"/>
  <c r="J5" i="13"/>
  <c r="F6" i="13"/>
  <c r="N6" i="13"/>
  <c r="I10" i="13"/>
  <c r="D12" i="13"/>
  <c r="L12" i="13"/>
  <c r="G13" i="13"/>
  <c r="C13" i="1"/>
  <c r="O13" i="1" s="1"/>
  <c r="C15" i="13"/>
  <c r="K15" i="13"/>
  <c r="F16" i="13"/>
  <c r="I11" i="13"/>
  <c r="D10" i="13"/>
  <c r="D11" i="13"/>
  <c r="C9" i="13"/>
  <c r="M10" i="13"/>
  <c r="C12" i="1"/>
  <c r="O12" i="1" s="1"/>
  <c r="C13" i="13"/>
  <c r="G15" i="13"/>
  <c r="N7" i="13"/>
  <c r="J8" i="13"/>
  <c r="E17" i="13"/>
  <c r="M17" i="13"/>
  <c r="H9" i="13"/>
  <c r="C5" i="13"/>
  <c r="K5" i="13"/>
  <c r="G6" i="13"/>
  <c r="J10" i="13"/>
  <c r="E12" i="13"/>
  <c r="M12" i="13"/>
  <c r="H13" i="13"/>
  <c r="D15" i="13"/>
  <c r="L15" i="13"/>
  <c r="G16" i="13"/>
  <c r="J11" i="13"/>
  <c r="G12" i="13"/>
  <c r="N15" i="13"/>
  <c r="E10" i="13"/>
  <c r="M7" i="13"/>
  <c r="G7" i="13"/>
  <c r="I8" i="13"/>
  <c r="I7" i="13"/>
  <c r="J7" i="13"/>
  <c r="C8" i="13"/>
  <c r="F17" i="13"/>
  <c r="N17" i="13"/>
  <c r="D5" i="13"/>
  <c r="L5" i="13"/>
  <c r="H6" i="13"/>
  <c r="C10" i="13"/>
  <c r="K10" i="13"/>
  <c r="F12" i="13"/>
  <c r="N12" i="13"/>
  <c r="I13" i="13"/>
  <c r="E15" i="13"/>
  <c r="M15" i="13"/>
  <c r="H16" i="13"/>
  <c r="C11" i="13"/>
  <c r="K11" i="13"/>
  <c r="I9" i="13"/>
  <c r="M9" i="13"/>
  <c r="L9" i="13"/>
  <c r="K9" i="13"/>
  <c r="J9" i="13"/>
  <c r="N9" i="13"/>
  <c r="N8" i="13"/>
  <c r="M8" i="13"/>
  <c r="K8" i="13"/>
  <c r="L8" i="13"/>
  <c r="F26" i="13" l="1"/>
  <c r="L17" i="1"/>
  <c r="O17" i="1" s="1"/>
  <c r="L18" i="13"/>
  <c r="O18" i="13" s="1"/>
  <c r="O21" i="7"/>
  <c r="C20" i="13"/>
  <c r="O15" i="13"/>
  <c r="O12" i="13"/>
  <c r="O16" i="13"/>
  <c r="O6" i="13"/>
  <c r="O13" i="13"/>
  <c r="O10" i="13"/>
  <c r="O17" i="13"/>
  <c r="O7" i="13"/>
  <c r="O11" i="13"/>
  <c r="O9" i="13"/>
  <c r="O8" i="13"/>
  <c r="N9" i="5"/>
  <c r="M9" i="5"/>
  <c r="L9" i="5"/>
  <c r="K9" i="5"/>
  <c r="J9" i="5"/>
  <c r="I9" i="5"/>
  <c r="H9" i="5"/>
  <c r="G9" i="5"/>
  <c r="F9" i="5"/>
  <c r="E9" i="5"/>
  <c r="D9" i="5"/>
  <c r="D18" i="1" l="1"/>
  <c r="D19" i="13"/>
  <c r="D20" i="13" s="1"/>
  <c r="E19" i="1"/>
  <c r="E19" i="13"/>
  <c r="E20" i="13" s="1"/>
  <c r="F18" i="1"/>
  <c r="F19" i="13"/>
  <c r="F20" i="13" s="1"/>
  <c r="G18" i="1"/>
  <c r="G19" i="1" s="1"/>
  <c r="G19" i="13"/>
  <c r="G20" i="13" s="1"/>
  <c r="H18" i="1"/>
  <c r="H19" i="1" s="1"/>
  <c r="H19" i="13"/>
  <c r="H20" i="13" s="1"/>
  <c r="J18" i="1"/>
  <c r="J19" i="1" s="1"/>
  <c r="J19" i="13"/>
  <c r="J20" i="13" s="1"/>
  <c r="N18" i="1"/>
  <c r="N19" i="13"/>
  <c r="N20" i="13" s="1"/>
  <c r="M18" i="1"/>
  <c r="M19" i="1" s="1"/>
  <c r="M19" i="13"/>
  <c r="M20" i="13" s="1"/>
  <c r="L18" i="1"/>
  <c r="L19" i="1" s="1"/>
  <c r="L19" i="13"/>
  <c r="L20" i="13" s="1"/>
  <c r="K18" i="1"/>
  <c r="K19" i="1" s="1"/>
  <c r="K19" i="13"/>
  <c r="K20" i="13" s="1"/>
  <c r="I18" i="1"/>
  <c r="I19" i="1" s="1"/>
  <c r="I19" i="13"/>
  <c r="C19" i="1"/>
  <c r="F19" i="1"/>
  <c r="N19" i="1"/>
  <c r="O18" i="1" l="1"/>
  <c r="O19" i="13"/>
  <c r="D19" i="1"/>
  <c r="O19" i="1" l="1"/>
  <c r="I5" i="13"/>
  <c r="O5" i="13" s="1"/>
  <c r="O20" i="13" s="1"/>
  <c r="I20" i="13" l="1"/>
</calcChain>
</file>

<file path=xl/sharedStrings.xml><?xml version="1.0" encoding="utf-8"?>
<sst xmlns="http://schemas.openxmlformats.org/spreadsheetml/2006/main" count="531" uniqueCount="224">
  <si>
    <t xml:space="preserve"> </t>
  </si>
  <si>
    <t>SohCahToa Holdings  Departmental Template</t>
  </si>
  <si>
    <t xml:space="preserve">HR and Admin Budget </t>
  </si>
  <si>
    <t>Expense Heads</t>
  </si>
  <si>
    <t>January</t>
  </si>
  <si>
    <t>February</t>
  </si>
  <si>
    <t>March</t>
  </si>
  <si>
    <t>April</t>
  </si>
  <si>
    <t>May</t>
  </si>
  <si>
    <t>June</t>
  </si>
  <si>
    <t>July</t>
  </si>
  <si>
    <t>August</t>
  </si>
  <si>
    <t>September</t>
  </si>
  <si>
    <t>October</t>
  </si>
  <si>
    <t>November</t>
  </si>
  <si>
    <t>December</t>
  </si>
  <si>
    <t>Total</t>
  </si>
  <si>
    <t>Rent</t>
  </si>
  <si>
    <t>Birthday Gifts</t>
  </si>
  <si>
    <t>Communication</t>
  </si>
  <si>
    <t>Insurance</t>
  </si>
  <si>
    <t>Repairs and Maintenance</t>
  </si>
  <si>
    <t xml:space="preserve">Fuelling </t>
  </si>
  <si>
    <t>Travelling Expense</t>
  </si>
  <si>
    <t>Team Bonding</t>
  </si>
  <si>
    <t>General office Expenses</t>
  </si>
  <si>
    <t>Transportation</t>
  </si>
  <si>
    <t>Training and Team building</t>
  </si>
  <si>
    <t>Staff Events</t>
  </si>
  <si>
    <t>Sports and Fitness</t>
  </si>
  <si>
    <t>Personnel Cost</t>
  </si>
  <si>
    <t>Capital Expenditure</t>
  </si>
  <si>
    <t>The 30% inflation rate forecasted is based on KPMG's inflation forecast for 2024</t>
  </si>
  <si>
    <t>Communication Expense</t>
  </si>
  <si>
    <t>Comments/Note</t>
  </si>
  <si>
    <t>Airtime and Data</t>
  </si>
  <si>
    <t>This is based on a credit limit of #10,000 for 27 staff per month</t>
  </si>
  <si>
    <t xml:space="preserve">CUG Subscription </t>
  </si>
  <si>
    <t xml:space="preserve">The cost is #1,000 per line. This amount would be paid at the end of the year for all lines for 1 year </t>
  </si>
  <si>
    <t xml:space="preserve">Office Internet </t>
  </si>
  <si>
    <t xml:space="preserve">The monthly cost of internet ( hyperia) is #215,000 and this is prepaid quarterly. This cost was inflated by 30% for the first 2 quarters and then by another 10%. </t>
  </si>
  <si>
    <t>Personnel Expenses</t>
  </si>
  <si>
    <t>Salaries and Allowance</t>
  </si>
  <si>
    <t xml:space="preserve">The current salary amount is based on the newly approved salary review structure for all existing roles </t>
  </si>
  <si>
    <t>Leave Allowance</t>
  </si>
  <si>
    <t xml:space="preserve">This is 10% of the annual basic salary payable at each employees work anniversary </t>
  </si>
  <si>
    <t>Bonus</t>
  </si>
  <si>
    <t>The maximum performance bonus is 75% for each quarter, which is paid in the following month</t>
  </si>
  <si>
    <t>13th Month Salary</t>
  </si>
  <si>
    <t>100% of employee gross salary payable in December</t>
  </si>
  <si>
    <t>Promotion</t>
  </si>
  <si>
    <t>A 25% increment was factored into this computation</t>
  </si>
  <si>
    <t>Staff end of the year package</t>
  </si>
  <si>
    <t xml:space="preserve"> 1 bag of rice @ #58,000 for one person, half bag of rice@ #30,000 for 27 people, 10 liters oil @ #20,000 for 1 person, 5 liters oil @ #10,000 for 4 people 
and 3.5 liters oil @ #6,000 for 22 staff. Inflation of 30% is factored and this brings it to #1,149,600. </t>
  </si>
  <si>
    <t>Staff Training and development</t>
  </si>
  <si>
    <t xml:space="preserve">The budget is #100,000 per employee for each quarter, The total is the cost for 27 employees for 4 quarters </t>
  </si>
  <si>
    <t>New Staff Salary</t>
  </si>
  <si>
    <t xml:space="preserve">This is based on their roles and the proposed new salary structure </t>
  </si>
  <si>
    <t>Bonus for new staff</t>
  </si>
  <si>
    <t>The 9 new staff will be eligible to bonus. This will be paid only upon confirmation.</t>
  </si>
  <si>
    <t>Long service award</t>
  </si>
  <si>
    <t>Company's budget is #1,100,000 and there are 5 eligible staff in 2024</t>
  </si>
  <si>
    <t>Employer's Pension</t>
  </si>
  <si>
    <t>This is 10% of the BTH of all employees salary payable monthly</t>
  </si>
  <si>
    <t>Employer's Pension (New Staff)</t>
  </si>
  <si>
    <t xml:space="preserve">This is 10% of BHT of new staff </t>
  </si>
  <si>
    <t>NSITF Regularization</t>
  </si>
  <si>
    <t>Payment of backlog</t>
  </si>
  <si>
    <t xml:space="preserve">NSITF </t>
  </si>
  <si>
    <t xml:space="preserve">1% of the annual payroll </t>
  </si>
  <si>
    <t xml:space="preserve">ITF </t>
  </si>
  <si>
    <t xml:space="preserve">Pre employment Medicals </t>
  </si>
  <si>
    <t xml:space="preserve">This cost #16,000 per person and we intend to fill 9 roles bringing the total cost to #144,000. We factored in a 30% inflation rate </t>
  </si>
  <si>
    <t>Onboarding</t>
  </si>
  <si>
    <t>Wine cost #3,500 each and Card #1,600 each, total cost per employee is #5,100 and for 9 employee the total comes to #45,900. We also factored in a 30% inflation rate</t>
  </si>
  <si>
    <t>gency</t>
  </si>
  <si>
    <t>The sum of N3,000,000 is projected to cover gratuity for exiting staff and any other related cost.</t>
  </si>
  <si>
    <t>Hmo</t>
  </si>
  <si>
    <t xml:space="preserve">2 platinum plan @ #570,236, 62 sliver plan @ #99,873 all employees and dependants including 9 new staff with 3 dependants each </t>
  </si>
  <si>
    <t>Group Life</t>
  </si>
  <si>
    <t xml:space="preserve">The premium for 27 employees would be #2, 223,817.27. An inflation rate of 30% was factored in </t>
  </si>
  <si>
    <t>Fire &amp; Buglary</t>
  </si>
  <si>
    <t>The premium is #271,823</t>
  </si>
  <si>
    <t>Vehicle</t>
  </si>
  <si>
    <t>The insurance for the pool car is due in February and Stallion MG is due in December</t>
  </si>
  <si>
    <t>Sport and Fitness</t>
  </si>
  <si>
    <t>Field usage and aerobics</t>
  </si>
  <si>
    <t>The field costs a total of #1,440,000 @  #4,000 for 20 players twice a month #160,000 for 12 months(1,920,000), while aerobics cost 100,000 per month (1,200,000)bringin the total to  #3,120,000. A 30% inflation rate was also factored in.</t>
  </si>
  <si>
    <t>Entertainment</t>
  </si>
  <si>
    <t xml:space="preserve">The current cost of  refreshment is #109,240 per session and session would hold twice a month and 30% inflation rate was factored </t>
  </si>
  <si>
    <t>Players Logistics</t>
  </si>
  <si>
    <t>Players get #4,000 for logistics. Usually, about 10 players train per session and we have 2 sessions in a month. This briings the total to 80,000 per month. However, we project that the number of players may increase by at most 5 players which brings the total to 100,000</t>
  </si>
  <si>
    <t>Vehicle Repairs</t>
  </si>
  <si>
    <t xml:space="preserve">This is based on the repairs done in 2023 and porated through out the year, as specific time can not be determined </t>
  </si>
  <si>
    <t>Motor vehicle renewal</t>
  </si>
  <si>
    <t>When license would be renewed @ #25,000 each when due as stated in the input worksheet</t>
  </si>
  <si>
    <t>Vehicle Maintance</t>
  </si>
  <si>
    <t xml:space="preserve">The vehicles are serviced every 3 months @ #53,6000 each </t>
  </si>
  <si>
    <t>Rent Related</t>
  </si>
  <si>
    <t>Annual Rent</t>
  </si>
  <si>
    <t xml:space="preserve">Company rent is due in May 2024, and it would be renewed for two year </t>
  </si>
  <si>
    <t xml:space="preserve"> Sevice charges (annually)</t>
  </si>
  <si>
    <t xml:space="preserve">The service charge remains the same </t>
  </si>
  <si>
    <t xml:space="preserve"> Electricity supply charges (Quarterly )</t>
  </si>
  <si>
    <t xml:space="preserve">Our current usage per quarter is #2,348,251.41 and 20,30,40,50% inflation rate quarterly was factored </t>
  </si>
  <si>
    <t>Birthday Gift</t>
  </si>
  <si>
    <t>Staff Gift</t>
  </si>
  <si>
    <t>The Company celebrates all staff birthdays by gifting the celebrant a birthday cake within the budget sum of 20,000. An analysis of all staff birthdays for 2024 was done with 7 new staff included for 2024.</t>
  </si>
  <si>
    <t>Fuelling</t>
  </si>
  <si>
    <t>Pool Car</t>
  </si>
  <si>
    <t>The pool car is fueled with #80,000 monthly and 30% inflation rate was factored for the first quarter and a further 10% iinflation for each subsequent quarter</t>
  </si>
  <si>
    <t>MD's Car</t>
  </si>
  <si>
    <t>MD's car is fueled with #80,000 monthly and 30% inflation rate was factored for the first quarter and a further 10% iinflation for each subsequent quarter</t>
  </si>
  <si>
    <t>BM's Car</t>
  </si>
  <si>
    <t>The fuel allowance for the BM's vechicle is #60,000 and 30% inflation rate was factored for the first quarter ans a further 10% inflation for each quarter</t>
  </si>
  <si>
    <t>Weekly Lunch</t>
  </si>
  <si>
    <t>This is #3,000 for 27 employees every Friday</t>
  </si>
  <si>
    <t>Quarterly Team Bonding</t>
  </si>
  <si>
    <t>This is #25,000 for 27 employees every last Friday of the quarter</t>
  </si>
  <si>
    <t>General Office Expense</t>
  </si>
  <si>
    <t>Stationery</t>
  </si>
  <si>
    <t xml:space="preserve">The cost for 27 employees and 30% inflation rate was factored </t>
  </si>
  <si>
    <t xml:space="preserve">Printables </t>
  </si>
  <si>
    <t xml:space="preserve">This includes printing of 100 deal slips @ #170,000, 100 Requisition forms @ #120,000, 100 Letter head @#35,000, 100 Envelop @#75,000 and ID card @ #2,500 each </t>
  </si>
  <si>
    <t>Office supplies and Provisions</t>
  </si>
  <si>
    <t xml:space="preserve">The cost for 29 employees is and a 30% inflation rate quarterly was factored </t>
  </si>
  <si>
    <t>Training and Team Building</t>
  </si>
  <si>
    <t>Strategy Retreat</t>
  </si>
  <si>
    <t>The BM and management staff would facilitate the session, the cost is mainly for accomodation and welfare.</t>
  </si>
  <si>
    <t>Staff Event</t>
  </si>
  <si>
    <t>Staff end of the year Party</t>
  </si>
  <si>
    <t>This was projected based on the 2023 budget with the inflation rate factored in</t>
  </si>
  <si>
    <t>Funmigation</t>
  </si>
  <si>
    <t>This is done Bi-annually. A mark up was done</t>
  </si>
  <si>
    <t>Travelling Expenses</t>
  </si>
  <si>
    <t>Flight Ticket</t>
  </si>
  <si>
    <t xml:space="preserve">Based on the trips in 2023 and 30% inflation rate was factored </t>
  </si>
  <si>
    <t>Hotel and Reservations</t>
  </si>
  <si>
    <t>Logistics</t>
  </si>
  <si>
    <t>Feeding</t>
  </si>
  <si>
    <t>Contigency</t>
  </si>
  <si>
    <t>Vehicle Maintenance</t>
  </si>
  <si>
    <t>Printables (Letter head, deal slips, requisitions)</t>
  </si>
  <si>
    <t>279, 185.316</t>
  </si>
  <si>
    <t>Transportation Allowance</t>
  </si>
  <si>
    <t xml:space="preserve"> Electricity supply charges (monthly )</t>
  </si>
  <si>
    <t>Official Car</t>
  </si>
  <si>
    <t>BDM's Car</t>
  </si>
  <si>
    <t xml:space="preserve">Staff Bus </t>
  </si>
  <si>
    <t>Customer Service Week</t>
  </si>
  <si>
    <t>Hotel Reservations</t>
  </si>
  <si>
    <t>We factored in a total of 15 new employees and adjusted the gifts according to their projected level. According to Statistica, the inflation rate for 2025 is 24.98%. We marked up using this percentage.</t>
  </si>
  <si>
    <t>We budgeted N400,000 per employee per quarter. We are working with a total of 64 employees while factoring in special trainings in specific months.</t>
  </si>
  <si>
    <t>The projection is based on the number of expected employees per month.</t>
  </si>
  <si>
    <t>1% of annual payroll</t>
  </si>
  <si>
    <t>Reliance HMO charges N44,800 per candidate. The computation was done based on the projected number of candidates resuming per month</t>
  </si>
  <si>
    <t>The welcome card costs N4730 while the bottle of wine costs N4500 each. Total cost per employee is N9,230. A 20%  inflation rate was factored in from Q2 2025</t>
  </si>
  <si>
    <t>The sum of N8,000,000 was factored in to cover gratuity for exiting staff</t>
  </si>
  <si>
    <t>The Platinum plan costs N570236 (4 individuals are entitled to this). The corporate silver plan costs N99,873</t>
  </si>
  <si>
    <t>The premium is N353,369 and a 30% inflation rate was factored in.</t>
  </si>
  <si>
    <t>We budgeted based on the insurance renewal dates of the existing vehicles and factored in the insurance renewal date for the staff bus in december.</t>
  </si>
  <si>
    <t>We projected that the sum of N300,000 would be expended on vehicle repairs monthly for Q1, while N500,000 would be expended monthly for Q2 and Q3 and finally, N750000 would be expended in Q4</t>
  </si>
  <si>
    <t>Motor Vehicle Renewal</t>
  </si>
  <si>
    <t>Renewal of vehicle documents cost N21,000. In January, it is projected that we would acquire at least 5 new vehicles and the cost of registration was factored in, in January. We also considered the expiry date of the licences of existing vehicles.</t>
  </si>
  <si>
    <t>We budgeted the sum of N300,000 for vehicle maintenance in Q1 and Q2. This was increased to N500,000 in Q3 because we anticipate that there will be need to do more repairs toward the end of the year. We also factored in N1000000 in Q4 to also cover maintenance cost for new vehicles.</t>
  </si>
  <si>
    <t>In 2024, our rent was increased to 17,199,000 per annum which is expected to be paid by June 1, 2025. We also prohjected that there will be need to rent a new office space and budgeted the sum of N30,000,000 to cover rent for the new office.</t>
  </si>
  <si>
    <t>The service charge was increased in 2025 to 1,782,656.78 and this would be paid along with the rent due in June 2025. We also budgeted the sum of N2,500,000.00 as service charge for the new office.</t>
  </si>
  <si>
    <t>The electricity charge for November 2024 was N717,559.56. This charge was marked up to N800,000 per month and N2,400,000 per quarter with a 20% increase every quarter.</t>
  </si>
  <si>
    <t>We project that the sum of N40,000 would be expended on individual birthday cakes in 2025. The computation was done based on the birthday dates of current staff and in September, we included the birthday cakes of 28 new employees.</t>
  </si>
  <si>
    <t>The pool car is fueled with 200,000 monthly and a 35% inflation rate was factored quarterly</t>
  </si>
  <si>
    <t>The MD's car is fueled with 1500,000 monthly and a 35% inflation rate was factored quarterly</t>
  </si>
  <si>
    <t>The fuel allowance for the Official's vechicle is 100,000 for two staff making a total of 200,000 monthly and 35% inflation rate was factored quarterly</t>
  </si>
  <si>
    <t>The fuel allowance for the BDM's vechicle is 100,000 monthly</t>
  </si>
  <si>
    <t>The projected number of staff for SIL is 35. Currently employees receives 3,000 lucnch allowance three times a week (Monday, Wednesday and Friday).</t>
  </si>
  <si>
    <t>The projected number of staff for SIL is 35 and for SFCL IS 20 making a total of 55 employees. It is 45,000 per employee every last Friday of the quarter.</t>
  </si>
  <si>
    <t xml:space="preserve">The cost for 57 employees and 20% inflation rate was factored </t>
  </si>
  <si>
    <t xml:space="preserve">The cost for 35 employees is 700,000.00 and a 35% inflation rate was factored </t>
  </si>
  <si>
    <t>We budgeted the sum of N30,000,000 to cover 2 strategy retreats in 2025 bringing it to a total of N60,000,000.</t>
  </si>
  <si>
    <t>We expended a total of N3,193,500 for CSW in 2024. This amount was marked up by 29%.</t>
  </si>
  <si>
    <t>We marked up the 2024 budget of 20,000,000 by 29%</t>
  </si>
  <si>
    <t>We plan to carry out funmigation exercise twice in a year. The sum of 450,000 was budgeted to cover funmigation and cleaning in January while that sum was marked up by 29% for the half year funmigation and cleaning.</t>
  </si>
  <si>
    <t>This budget considered the possibility of frequent work-related travels abroad and within nigeria</t>
  </si>
  <si>
    <t>We increased the budget for hotel accomodations for 2025 due to the possibility of more frequent work-related travels in 2025.</t>
  </si>
  <si>
    <t>This covers movement within the travel destination</t>
  </si>
  <si>
    <t>A markup was done to cover feeding expenses.</t>
  </si>
  <si>
    <t>We budgeted the sum of N43,000,000 to purchase 4 vehicles in January.</t>
  </si>
  <si>
    <t>Roles</t>
  </si>
  <si>
    <t xml:space="preserve">Projected Salary </t>
  </si>
  <si>
    <t>Pension</t>
  </si>
  <si>
    <t>T.A</t>
  </si>
  <si>
    <t xml:space="preserve">ICA </t>
  </si>
  <si>
    <t xml:space="preserve">Front Desk </t>
  </si>
  <si>
    <t>Corp. Comms</t>
  </si>
  <si>
    <t>Finance Officer</t>
  </si>
  <si>
    <t>Account Manager 1</t>
  </si>
  <si>
    <t xml:space="preserve">Account Manager 2 </t>
  </si>
  <si>
    <t>I.T</t>
  </si>
  <si>
    <t>Driver</t>
  </si>
  <si>
    <t xml:space="preserve">Driver </t>
  </si>
  <si>
    <t>Assets</t>
  </si>
  <si>
    <t>₦</t>
  </si>
  <si>
    <t>Motor Vehicle</t>
  </si>
  <si>
    <t>File Cabinet</t>
  </si>
  <si>
    <t>Furniture and Fittings</t>
  </si>
  <si>
    <t>As at December 2024, the budget was N9,983,880.10. We included the net salary for the following roles: lead ICA, Financial Controller, BDC Officer, Finance Officer in January 2025 while HR/Admin Officer and Corporate Comms Officer. Key account managers (senior and junior), T.A and E.A were added in February 2025. We budgeted 243,000 in July for 3 corp. members at 81,000 each.</t>
  </si>
  <si>
    <t xml:space="preserve">This is computed using 10% of the annual basic salary. </t>
  </si>
  <si>
    <t>MD's Cars</t>
  </si>
  <si>
    <t>The maximum performance bonus is 100%  gross for each quarter, which is paid in the following month. Only confirmed employees are eligible and we factored in the number of eligible employees per quarter.</t>
  </si>
  <si>
    <t>Promotion is subject to performance. We calculated a 50% increment and added the sum of 3,000,000 to cover promotion to higher levels.</t>
  </si>
  <si>
    <t>The 24.98% inflation rate forecasted is based on Statistica's inflation forecast for 2025</t>
  </si>
  <si>
    <t>Drivers' Salary</t>
  </si>
  <si>
    <t>Ayodele and titi will be paid N50,000 each for completing 5 years in 2024 while Damilola will be paid in June 2025.</t>
  </si>
  <si>
    <t>Each driver earns N112,801 monthly gross while the executive drivers earn N173,6725 monthly gross. We currently have 9 drivers and will be ionboarding 3 in February and 1 staff bus driver in April 2025.</t>
  </si>
  <si>
    <t>The sum of N40,000 is paid monthly to staff to auugment transportation expenses. This calculation was done based on the number of employees to be onboarded monthly.</t>
  </si>
  <si>
    <t>Contigency (Staff exit)</t>
  </si>
  <si>
    <t>The premium is calculated as sum insured *3 of the annual salaries for each staff multiplied by 0.06.</t>
  </si>
  <si>
    <t>We budgeted N350,000 monthly for field usage and added N100,000 payment to the aerobics instructor.</t>
  </si>
  <si>
    <t xml:space="preserve">We considered the fact that aerobics and football training will be combined to determine that N350,000 would cover entertainment per week. </t>
  </si>
  <si>
    <t xml:space="preserve">This cost covers transportation fare given to the external players (N100,000) and  purchase of training items such as boots etc. </t>
  </si>
  <si>
    <t xml:space="preserve">This includes printing ofLetter head @70,000, 100 Envelop @#50,000, M.D's Complimentary card @75,000 and ID cards for 34 staff @ 10000 (N340000) </t>
  </si>
  <si>
    <t>Consultants</t>
  </si>
  <si>
    <t>We budgeted 5,000,000 per quarter to cover consultants' fee.</t>
  </si>
  <si>
    <t>Funmigation &amp; Consultatants</t>
  </si>
  <si>
    <t>Funmigation &amp; Consultants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</si>
</sst>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0.00_);_(&quot;$&quot;* \(#,##0.00\);_(&quot;$&quot;* &quot;-&quot;??_);_(@_)"/>
    <numFmt numFmtId="165" formatCode="_(* #,##0.00_);_(* \(#,##0.00\);_(* &quot;-&quot;??_);_(@_)"/>
    <numFmt numFmtId="166" formatCode="_-* #,##0.0_-;\-* #,##0.0_-;_-* &quot;-&quot;??_-;_-@_-"/>
  </numFmts>
  <fonts count="19"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Garamond"/>
      <family val="1"/>
    </font>
    <font>
      <sz val="11"/>
      <color theme="1"/>
      <name val="Garamond"/>
      <family val="1"/>
    </font>
    <font>
      <b/>
      <sz val="11"/>
      <color theme="0"/>
      <name val="Calibri"/>
      <family val="2"/>
      <scheme val="minor"/>
    </font>
    <font>
      <sz val="11"/>
      <color theme="0"/>
      <name val="Calibri"/>
      <family val="2"/>
      <scheme val="minor"/>
    </font>
    <font>
      <sz val="12"/>
      <color theme="1"/>
      <name val="Calibri"/>
      <family val="2"/>
      <scheme val="minor"/>
    </font>
    <font>
      <b/>
      <sz val="11"/>
      <color theme="0"/>
      <name val="Garamond"/>
      <family val="1"/>
    </font>
    <font>
      <b/>
      <sz val="10"/>
      <color theme="0"/>
      <name val="Calibri"/>
      <family val="2"/>
      <scheme val="minor"/>
    </font>
    <font>
      <b/>
      <sz val="18"/>
      <color rgb="FFFF0000"/>
      <name val="Calibri"/>
      <family val="2"/>
      <scheme val="minor"/>
    </font>
    <font>
      <sz val="8"/>
      <name val="Calibri"/>
      <family val="2"/>
      <scheme val="minor"/>
    </font>
    <font>
      <b/>
      <sz val="12"/>
      <color theme="1"/>
      <name val="Garamond"/>
      <family val="1"/>
    </font>
    <font>
      <sz val="11"/>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
      <sz val="11"/>
      <color rgb="FF000000"/>
      <name val="Calibri"/>
      <family val="2"/>
    </font>
    <font>
      <sz val="10"/>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5"/>
        <bgColor indexed="64"/>
      </patternFill>
    </fill>
    <fill>
      <patternFill patternType="solid">
        <fgColor rgb="FFFFFFFF"/>
        <bgColor rgb="FF000000"/>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6">
    <xf numFmtId="0" fontId="0" fillId="0" borderId="0"/>
    <xf numFmtId="43" fontId="2" fillId="0" borderId="0" applyFont="0" applyFill="0" applyBorder="0" applyAlignment="0" applyProtection="0"/>
    <xf numFmtId="0" fontId="7" fillId="0" borderId="0"/>
    <xf numFmtId="164" fontId="7" fillId="0" borderId="0" applyFont="0" applyFill="0" applyBorder="0" applyAlignment="0" applyProtection="0"/>
    <xf numFmtId="9" fontId="7" fillId="0" borderId="0" applyFont="0" applyFill="0" applyBorder="0" applyAlignment="0" applyProtection="0"/>
    <xf numFmtId="0" fontId="2" fillId="0" borderId="0"/>
  </cellStyleXfs>
  <cellXfs count="55">
    <xf numFmtId="0" fontId="0" fillId="0" borderId="0" xfId="0"/>
    <xf numFmtId="0" fontId="0" fillId="0" borderId="1" xfId="0" applyBorder="1"/>
    <xf numFmtId="0" fontId="4" fillId="0" borderId="1" xfId="0" applyFont="1" applyBorder="1"/>
    <xf numFmtId="0" fontId="1" fillId="3" borderId="1" xfId="0" applyFont="1" applyFill="1" applyBorder="1"/>
    <xf numFmtId="0" fontId="1" fillId="3" borderId="1" xfId="0" applyFont="1" applyFill="1" applyBorder="1" applyAlignment="1">
      <alignment horizontal="center"/>
    </xf>
    <xf numFmtId="0" fontId="5" fillId="2" borderId="1" xfId="0" applyFont="1" applyFill="1" applyBorder="1"/>
    <xf numFmtId="0" fontId="1" fillId="4" borderId="1" xfId="0" applyFont="1" applyFill="1" applyBorder="1" applyAlignment="1">
      <alignment horizontal="center"/>
    </xf>
    <xf numFmtId="0" fontId="1" fillId="0" borderId="0" xfId="0" applyFont="1"/>
    <xf numFmtId="0" fontId="1" fillId="4" borderId="1" xfId="0" applyFont="1" applyFill="1" applyBorder="1"/>
    <xf numFmtId="0" fontId="0" fillId="3" borderId="1" xfId="0" applyFill="1" applyBorder="1"/>
    <xf numFmtId="0" fontId="3" fillId="3" borderId="1" xfId="0" applyFont="1" applyFill="1" applyBorder="1"/>
    <xf numFmtId="43" fontId="4" fillId="0" borderId="1" xfId="1" applyFont="1" applyBorder="1"/>
    <xf numFmtId="0" fontId="8" fillId="4" borderId="1" xfId="0" applyFont="1" applyFill="1" applyBorder="1"/>
    <xf numFmtId="0" fontId="8" fillId="4" borderId="1" xfId="0" applyFont="1" applyFill="1" applyBorder="1" applyAlignment="1">
      <alignment horizontal="center"/>
    </xf>
    <xf numFmtId="166" fontId="0" fillId="0" borderId="1" xfId="1" applyNumberFormat="1" applyFont="1" applyBorder="1"/>
    <xf numFmtId="166" fontId="5" fillId="4" borderId="1" xfId="1" applyNumberFormat="1" applyFont="1" applyFill="1" applyBorder="1"/>
    <xf numFmtId="43" fontId="5" fillId="2" borderId="1" xfId="1" applyFont="1" applyFill="1" applyBorder="1"/>
    <xf numFmtId="0" fontId="4" fillId="0" borderId="1" xfId="0" applyFont="1" applyBorder="1" applyAlignment="1">
      <alignment horizontal="center"/>
    </xf>
    <xf numFmtId="43" fontId="1" fillId="4" borderId="1" xfId="1" applyFont="1" applyFill="1" applyBorder="1" applyAlignment="1">
      <alignment horizontal="center"/>
    </xf>
    <xf numFmtId="43" fontId="0" fillId="0" borderId="1" xfId="1" applyFont="1" applyBorder="1"/>
    <xf numFmtId="43" fontId="6" fillId="2" borderId="1" xfId="1" applyFont="1" applyFill="1" applyBorder="1"/>
    <xf numFmtId="43" fontId="0" fillId="0" borderId="0" xfId="1" applyFont="1"/>
    <xf numFmtId="43" fontId="1" fillId="0" borderId="1" xfId="1" applyFont="1" applyBorder="1"/>
    <xf numFmtId="43" fontId="0" fillId="0" borderId="1" xfId="1" applyFont="1" applyFill="1" applyBorder="1"/>
    <xf numFmtId="165" fontId="0" fillId="0" borderId="0" xfId="0" applyNumberFormat="1"/>
    <xf numFmtId="0" fontId="0" fillId="3" borderId="1" xfId="0" applyFill="1" applyBorder="1" applyAlignment="1">
      <alignment wrapText="1"/>
    </xf>
    <xf numFmtId="43" fontId="8" fillId="4" borderId="1" xfId="1" applyFont="1" applyFill="1" applyBorder="1"/>
    <xf numFmtId="0" fontId="12" fillId="3" borderId="1" xfId="0" applyFont="1" applyFill="1" applyBorder="1"/>
    <xf numFmtId="4" fontId="0" fillId="0" borderId="0" xfId="0" applyNumberFormat="1"/>
    <xf numFmtId="4" fontId="13" fillId="5" borderId="1" xfId="0" applyNumberFormat="1" applyFont="1" applyFill="1" applyBorder="1"/>
    <xf numFmtId="4" fontId="13" fillId="0" borderId="1" xfId="0" applyNumberFormat="1" applyFont="1" applyBorder="1"/>
    <xf numFmtId="4" fontId="14" fillId="0" borderId="0" xfId="0" applyNumberFormat="1" applyFont="1"/>
    <xf numFmtId="0" fontId="15" fillId="3" borderId="1" xfId="0" applyFont="1" applyFill="1" applyBorder="1"/>
    <xf numFmtId="166" fontId="0" fillId="0" borderId="0" xfId="0" applyNumberFormat="1"/>
    <xf numFmtId="0" fontId="16" fillId="0" borderId="1" xfId="0" applyFont="1" applyBorder="1"/>
    <xf numFmtId="4" fontId="16" fillId="0" borderId="1" xfId="0" applyNumberFormat="1" applyFont="1" applyBorder="1"/>
    <xf numFmtId="4" fontId="17" fillId="0" borderId="1" xfId="0" applyNumberFormat="1" applyFont="1" applyBorder="1"/>
    <xf numFmtId="9" fontId="0" fillId="3" borderId="1" xfId="0" applyNumberFormat="1" applyFill="1" applyBorder="1"/>
    <xf numFmtId="0" fontId="0" fillId="0" borderId="5" xfId="0" applyBorder="1"/>
    <xf numFmtId="43" fontId="0" fillId="0" borderId="2" xfId="1" applyFont="1" applyBorder="1"/>
    <xf numFmtId="43" fontId="0" fillId="0" borderId="4" xfId="1" applyFont="1" applyBorder="1"/>
    <xf numFmtId="43" fontId="0" fillId="0" borderId="6" xfId="1" applyFont="1" applyBorder="1"/>
    <xf numFmtId="3" fontId="0" fillId="0" borderId="0" xfId="0" applyNumberFormat="1"/>
    <xf numFmtId="0" fontId="14" fillId="0" borderId="0" xfId="0" applyFont="1"/>
    <xf numFmtId="43" fontId="18" fillId="0" borderId="1" xfId="1" applyFont="1" applyBorder="1"/>
    <xf numFmtId="0" fontId="6" fillId="2" borderId="0" xfId="0" applyFont="1" applyFill="1"/>
    <xf numFmtId="0" fontId="6" fillId="6" borderId="0" xfId="0" applyFont="1" applyFill="1"/>
    <xf numFmtId="0" fontId="0" fillId="6" borderId="0" xfId="0" applyFill="1"/>
    <xf numFmtId="0" fontId="5" fillId="6" borderId="1" xfId="0" applyFont="1" applyFill="1" applyBorder="1"/>
    <xf numFmtId="43" fontId="6" fillId="6" borderId="1" xfId="1" applyFont="1" applyFill="1" applyBorder="1"/>
    <xf numFmtId="43" fontId="6" fillId="6" borderId="0" xfId="1" applyFont="1" applyFill="1" applyBorder="1"/>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9" fillId="4" borderId="1" xfId="0" applyFont="1" applyFill="1" applyBorder="1" applyAlignment="1">
      <alignment horizontal="center"/>
    </xf>
  </cellXfs>
  <cellStyles count="6">
    <cellStyle name="Comma" xfId="1" builtinId="3"/>
    <cellStyle name="Currency 2" xfId="3" xr:uid="{00000000-0005-0000-0000-000001000000}"/>
    <cellStyle name="Normal" xfId="0" builtinId="0"/>
    <cellStyle name="Normal 2" xfId="5" xr:uid="{00000000-0005-0000-0000-000003000000}"/>
    <cellStyle name="Normal 3" xfId="2" xr:uid="{00000000-0005-0000-0000-000004000000}"/>
    <cellStyle name="Percent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1</xdr:row>
      <xdr:rowOff>16727</xdr:rowOff>
    </xdr:from>
    <xdr:to>
      <xdr:col>1</xdr:col>
      <xdr:colOff>857250</xdr:colOff>
      <xdr:row>1</xdr:row>
      <xdr:rowOff>342755</xdr:rowOff>
    </xdr:to>
    <xdr:pic>
      <xdr:nvPicPr>
        <xdr:cNvPr id="2" name="Picture 1">
          <a:extLst>
            <a:ext uri="{FF2B5EF4-FFF2-40B4-BE49-F238E27FC236}">
              <a16:creationId xmlns:a16="http://schemas.microsoft.com/office/drawing/2014/main" id="{B962EAED-7424-496A-8260-111AC2AF148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718" b="30413"/>
        <a:stretch/>
      </xdr:blipFill>
      <xdr:spPr>
        <a:xfrm>
          <a:off x="581026" y="207227"/>
          <a:ext cx="819149" cy="3260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85725</xdr:colOff>
      <xdr:row>1</xdr:row>
      <xdr:rowOff>57150</xdr:rowOff>
    </xdr:from>
    <xdr:to>
      <xdr:col>1</xdr:col>
      <xdr:colOff>838200</xdr:colOff>
      <xdr:row>1</xdr:row>
      <xdr:rowOff>333375</xdr:rowOff>
    </xdr:to>
    <xdr:pic>
      <xdr:nvPicPr>
        <xdr:cNvPr id="4" name="Picture 3">
          <a:extLst>
            <a:ext uri="{FF2B5EF4-FFF2-40B4-BE49-F238E27FC236}">
              <a16:creationId xmlns:a16="http://schemas.microsoft.com/office/drawing/2014/main" id="{A109734A-216F-6A57-BC81-089FFA10B76D}"/>
            </a:ext>
          </a:extLst>
        </xdr:cNvPr>
        <xdr:cNvPicPr>
          <a:picLocks noChangeAspect="1"/>
        </xdr:cNvPicPr>
      </xdr:nvPicPr>
      <xdr:blipFill>
        <a:blip xmlns:r="http://schemas.openxmlformats.org/officeDocument/2006/relationships" r:embed="rId1"/>
        <a:stretch>
          <a:fillRect/>
        </a:stretch>
      </xdr:blipFill>
      <xdr:spPr>
        <a:xfrm>
          <a:off x="628650" y="247650"/>
          <a:ext cx="752475" cy="276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EE68-D3B9-4E55-A71B-ACC57F447604}">
  <dimension ref="B1:O26"/>
  <sheetViews>
    <sheetView showGridLines="0" zoomScale="98" zoomScaleNormal="98" workbookViewId="0">
      <pane xSplit="2" ySplit="4" topLeftCell="C10" activePane="bottomRight" state="frozen"/>
      <selection pane="topRight" activeCell="C1" sqref="C1"/>
      <selection pane="bottomLeft" activeCell="A5" sqref="A5"/>
      <selection pane="bottomRight" activeCell="C10" sqref="C10"/>
    </sheetView>
  </sheetViews>
  <sheetFormatPr defaultRowHeight="14.4" x14ac:dyDescent="0.3"/>
  <cols>
    <col min="1" max="1" width="8.109375" customWidth="1"/>
    <col min="2" max="2" width="45.6640625" customWidth="1"/>
    <col min="3" max="3" width="19.6640625" customWidth="1"/>
    <col min="4" max="14" width="13.33203125" bestFit="1" customWidth="1"/>
    <col min="15" max="15" width="14.33203125" bestFit="1" customWidth="1"/>
    <col min="17" max="17" width="9.109375" customWidth="1"/>
  </cols>
  <sheetData>
    <row r="1" spans="2:15" x14ac:dyDescent="0.3">
      <c r="B1" t="s">
        <v>0</v>
      </c>
    </row>
    <row r="2" spans="2:15" ht="28.5" customHeight="1" x14ac:dyDescent="0.3">
      <c r="B2" s="51" t="s">
        <v>1</v>
      </c>
      <c r="C2" s="52"/>
      <c r="D2" s="52"/>
      <c r="E2" s="52"/>
      <c r="F2" s="52"/>
      <c r="G2" s="52"/>
      <c r="H2" s="52"/>
      <c r="I2" s="52"/>
      <c r="J2" s="52"/>
      <c r="K2" s="52"/>
      <c r="L2" s="52"/>
      <c r="M2" s="52"/>
      <c r="N2" s="52"/>
      <c r="O2" s="53"/>
    </row>
    <row r="3" spans="2:15" ht="12" customHeight="1" x14ac:dyDescent="0.3">
      <c r="B3" s="54" t="s">
        <v>2</v>
      </c>
      <c r="C3" s="54"/>
      <c r="D3" s="54"/>
      <c r="E3" s="54"/>
      <c r="F3" s="54"/>
      <c r="G3" s="54"/>
      <c r="H3" s="54"/>
      <c r="I3" s="54"/>
      <c r="J3" s="54"/>
      <c r="K3" s="54"/>
      <c r="L3" s="54"/>
      <c r="M3" s="54"/>
      <c r="N3" s="54"/>
      <c r="O3" s="54"/>
    </row>
    <row r="4" spans="2:15" x14ac:dyDescent="0.3">
      <c r="B4" s="4" t="s">
        <v>3</v>
      </c>
      <c r="C4" s="4" t="s">
        <v>4</v>
      </c>
      <c r="D4" s="4" t="s">
        <v>5</v>
      </c>
      <c r="E4" s="4" t="s">
        <v>6</v>
      </c>
      <c r="F4" s="4" t="s">
        <v>7</v>
      </c>
      <c r="G4" s="4" t="s">
        <v>8</v>
      </c>
      <c r="H4" s="4" t="s">
        <v>9</v>
      </c>
      <c r="I4" s="4" t="s">
        <v>10</v>
      </c>
      <c r="J4" s="4" t="s">
        <v>11</v>
      </c>
      <c r="K4" s="4" t="s">
        <v>12</v>
      </c>
      <c r="L4" s="4" t="s">
        <v>13</v>
      </c>
      <c r="M4" s="4" t="s">
        <v>14</v>
      </c>
      <c r="N4" s="4" t="s">
        <v>15</v>
      </c>
      <c r="O4" s="4" t="s">
        <v>16</v>
      </c>
    </row>
    <row r="5" spans="2:15" x14ac:dyDescent="0.3">
      <c r="B5" s="3" t="s">
        <v>17</v>
      </c>
      <c r="C5" s="14">
        <f>'Input Worksheet'!C49</f>
        <v>0</v>
      </c>
      <c r="D5" s="14">
        <f>'Input Worksheet'!D49</f>
        <v>0</v>
      </c>
      <c r="E5" s="14">
        <f>'Input Worksheet'!E49</f>
        <v>34900000</v>
      </c>
      <c r="F5" s="14">
        <f>'Input Worksheet'!F49</f>
        <v>0</v>
      </c>
      <c r="G5" s="14">
        <f>'Input Worksheet'!G49</f>
        <v>0</v>
      </c>
      <c r="H5" s="14">
        <f>'Input Worksheet'!H49</f>
        <v>21861656.780000001</v>
      </c>
      <c r="I5" s="14">
        <f>'Input Worksheet'!I49</f>
        <v>0</v>
      </c>
      <c r="J5" s="14">
        <f>'Input Worksheet'!J49</f>
        <v>0</v>
      </c>
      <c r="K5" s="14">
        <f>'Input Worksheet'!K49</f>
        <v>3456000</v>
      </c>
      <c r="L5" s="14">
        <f>'Input Worksheet'!L49</f>
        <v>0</v>
      </c>
      <c r="M5" s="14">
        <f>'Input Worksheet'!M49</f>
        <v>0</v>
      </c>
      <c r="N5" s="14">
        <f>'Input Worksheet'!N49</f>
        <v>4492800</v>
      </c>
      <c r="O5" s="14">
        <f t="shared" ref="O5:O16" si="0">SUM(C5:N5)</f>
        <v>64710456.780000001</v>
      </c>
    </row>
    <row r="6" spans="2:15" x14ac:dyDescent="0.3">
      <c r="B6" s="3" t="s">
        <v>18</v>
      </c>
      <c r="C6" s="14">
        <f>'Input Worksheet'!C54</f>
        <v>40000</v>
      </c>
      <c r="D6" s="14">
        <v>40000</v>
      </c>
      <c r="E6" s="14">
        <f>'Input Worksheet'!E54</f>
        <v>240000</v>
      </c>
      <c r="F6" s="14">
        <f>'Input Worksheet'!F54</f>
        <v>40000</v>
      </c>
      <c r="G6" s="14">
        <f>'Input Worksheet'!G54</f>
        <v>80000</v>
      </c>
      <c r="H6" s="14">
        <f>'Input Worksheet'!H54</f>
        <v>80000</v>
      </c>
      <c r="I6" s="14">
        <f>'Input Worksheet'!I54</f>
        <v>80000</v>
      </c>
      <c r="J6" s="14">
        <f>'Input Worksheet'!J54</f>
        <v>280000</v>
      </c>
      <c r="K6" s="14">
        <f>'Input Worksheet'!K54</f>
        <v>400000</v>
      </c>
      <c r="L6" s="14">
        <f>'Input Worksheet'!L54</f>
        <v>120000</v>
      </c>
      <c r="M6" s="14">
        <f>'Input Worksheet'!M54</f>
        <v>400000</v>
      </c>
      <c r="N6" s="14">
        <f>'Input Worksheet'!N54</f>
        <v>80000</v>
      </c>
      <c r="O6" s="14">
        <f t="shared" si="0"/>
        <v>1880000</v>
      </c>
    </row>
    <row r="7" spans="2:15" x14ac:dyDescent="0.3">
      <c r="B7" s="3" t="s">
        <v>19</v>
      </c>
      <c r="C7" s="14" t="e">
        <f>'Input Worksheet'!#REF!</f>
        <v>#REF!</v>
      </c>
      <c r="D7" s="14" t="e">
        <f>'Input Worksheet'!#REF!</f>
        <v>#REF!</v>
      </c>
      <c r="E7" s="14" t="e">
        <f>'Input Worksheet'!#REF!</f>
        <v>#REF!</v>
      </c>
      <c r="F7" s="14" t="e">
        <f>'Input Worksheet'!#REF!</f>
        <v>#REF!</v>
      </c>
      <c r="G7" s="14" t="e">
        <f>'Input Worksheet'!#REF!</f>
        <v>#REF!</v>
      </c>
      <c r="H7" s="14" t="e">
        <f>'Input Worksheet'!#REF!</f>
        <v>#REF!</v>
      </c>
      <c r="I7" s="14" t="e">
        <f>'Input Worksheet'!#REF!</f>
        <v>#REF!</v>
      </c>
      <c r="J7" s="14" t="e">
        <f>'Input Worksheet'!#REF!</f>
        <v>#REF!</v>
      </c>
      <c r="K7" s="14" t="e">
        <f>'Input Worksheet'!#REF!</f>
        <v>#REF!</v>
      </c>
      <c r="L7" s="14" t="e">
        <f>'Input Worksheet'!#REF!</f>
        <v>#REF!</v>
      </c>
      <c r="M7" s="14" t="e">
        <f>'Input Worksheet'!#REF!</f>
        <v>#REF!</v>
      </c>
      <c r="N7" s="14" t="e">
        <f>'Input Worksheet'!#REF!</f>
        <v>#REF!</v>
      </c>
      <c r="O7" s="14" t="e">
        <f t="shared" si="0"/>
        <v>#REF!</v>
      </c>
    </row>
    <row r="8" spans="2:15" x14ac:dyDescent="0.3">
      <c r="B8" s="3" t="s">
        <v>20</v>
      </c>
      <c r="C8" s="14">
        <f>'Input Worksheet'!C28</f>
        <v>7042958.1100000003</v>
      </c>
      <c r="D8" s="14">
        <f>'Input Worksheet'!D28</f>
        <v>5146814.6300000008</v>
      </c>
      <c r="E8" s="14">
        <f>'Input Worksheet'!E28</f>
        <v>3355941.41</v>
      </c>
      <c r="F8" s="14">
        <f>'Input Worksheet'!F28</f>
        <v>3853173.41</v>
      </c>
      <c r="G8" s="14">
        <f>'Input Worksheet'!G28</f>
        <v>843380.87</v>
      </c>
      <c r="H8" s="14">
        <f>'Input Worksheet'!H28</f>
        <v>8073232</v>
      </c>
      <c r="I8" s="14">
        <f>'Input Worksheet'!I28</f>
        <v>4177173.41</v>
      </c>
      <c r="J8" s="14">
        <f>'Input Worksheet'!J28</f>
        <v>0</v>
      </c>
      <c r="K8" s="14">
        <f>'Input Worksheet'!K28</f>
        <v>0</v>
      </c>
      <c r="L8" s="14">
        <f>'Input Worksheet'!L28</f>
        <v>7698090.0265000006</v>
      </c>
      <c r="M8" s="14">
        <f>'Input Worksheet'!M28</f>
        <v>650000</v>
      </c>
      <c r="N8" s="14">
        <f>'Input Worksheet'!N28</f>
        <v>8600000</v>
      </c>
      <c r="O8" s="14">
        <f t="shared" si="0"/>
        <v>49440763.866500005</v>
      </c>
    </row>
    <row r="9" spans="2:15" x14ac:dyDescent="0.3">
      <c r="B9" s="3" t="s">
        <v>21</v>
      </c>
      <c r="C9" s="14">
        <f>'Input Worksheet'!C42</f>
        <v>405000</v>
      </c>
      <c r="D9" s="14">
        <f>'Input Worksheet'!D42</f>
        <v>300000</v>
      </c>
      <c r="E9" s="14">
        <f>'Input Worksheet'!E42</f>
        <v>621000</v>
      </c>
      <c r="F9" s="14">
        <f>'Input Worksheet'!F42</f>
        <v>500000</v>
      </c>
      <c r="G9" s="14">
        <f>'Input Worksheet'!G42</f>
        <v>500000</v>
      </c>
      <c r="H9" s="14">
        <f>'Input Worksheet'!H42</f>
        <v>800000</v>
      </c>
      <c r="I9" s="14">
        <f>'Input Worksheet'!I42</f>
        <v>500000</v>
      </c>
      <c r="J9" s="14">
        <f>'Input Worksheet'!J42</f>
        <v>542000</v>
      </c>
      <c r="K9" s="14">
        <f>'Input Worksheet'!K42</f>
        <v>1000000</v>
      </c>
      <c r="L9" s="14">
        <f>'Input Worksheet'!L42</f>
        <v>771000</v>
      </c>
      <c r="M9" s="14">
        <f>'Input Worksheet'!M42</f>
        <v>792000</v>
      </c>
      <c r="N9" s="14">
        <f>'Input Worksheet'!N42</f>
        <v>1750000</v>
      </c>
      <c r="O9" s="14">
        <f t="shared" si="0"/>
        <v>8481000</v>
      </c>
    </row>
    <row r="10" spans="2:15" x14ac:dyDescent="0.3">
      <c r="B10" s="3" t="s">
        <v>22</v>
      </c>
      <c r="C10" s="14">
        <f>'Input Worksheet'!C61</f>
        <v>2800000</v>
      </c>
      <c r="D10" s="14">
        <f>'Input Worksheet'!D61</f>
        <v>3000000</v>
      </c>
      <c r="E10" s="14">
        <f>'Input Worksheet'!E61</f>
        <v>3070000</v>
      </c>
      <c r="F10" s="14">
        <f>'Input Worksheet'!F61</f>
        <v>3499600</v>
      </c>
      <c r="G10" s="14">
        <f>'Input Worksheet'!G61</f>
        <v>3499600</v>
      </c>
      <c r="H10" s="14">
        <f>'Input Worksheet'!H61</f>
        <v>3569600</v>
      </c>
      <c r="I10" s="14">
        <f>'Input Worksheet'!I61</f>
        <v>4124000.08</v>
      </c>
      <c r="J10" s="14">
        <f>'Input Worksheet'!J61</f>
        <v>4904375.2999840006</v>
      </c>
      <c r="K10" s="14">
        <f>'Input Worksheet'!K61</f>
        <v>5949688.2499200031</v>
      </c>
      <c r="L10" s="14">
        <f>'Input Worksheet'!L61</f>
        <v>7098634.37475002</v>
      </c>
      <c r="M10" s="14">
        <f>'Input Worksheet'!M61</f>
        <v>7098634.37475002</v>
      </c>
      <c r="N10" s="14">
        <f>'Input Worksheet'!N61</f>
        <v>7168634.37475002</v>
      </c>
      <c r="O10" s="14">
        <f t="shared" si="0"/>
        <v>55782766.754154056</v>
      </c>
    </row>
    <row r="11" spans="2:15" x14ac:dyDescent="0.3">
      <c r="B11" s="3" t="s">
        <v>23</v>
      </c>
      <c r="C11" s="14">
        <f>'Input Worksheet'!C92</f>
        <v>7000000</v>
      </c>
      <c r="D11" s="14">
        <f>'Input Worksheet'!D92</f>
        <v>7000000</v>
      </c>
      <c r="E11" s="14">
        <f>'Input Worksheet'!E92</f>
        <v>7000000</v>
      </c>
      <c r="F11" s="14">
        <f>'Input Worksheet'!F92</f>
        <v>16600000</v>
      </c>
      <c r="G11" s="14">
        <f>'Input Worksheet'!G92</f>
        <v>16600000</v>
      </c>
      <c r="H11" s="14">
        <f>'Input Worksheet'!H92</f>
        <v>16600000</v>
      </c>
      <c r="I11" s="14">
        <f>'Input Worksheet'!I92</f>
        <v>32200000</v>
      </c>
      <c r="J11" s="14">
        <f>'Input Worksheet'!J92</f>
        <v>32200000</v>
      </c>
      <c r="K11" s="14">
        <f>'Input Worksheet'!K92</f>
        <v>32200000</v>
      </c>
      <c r="L11" s="14">
        <f>'Input Worksheet'!L92</f>
        <v>47800000</v>
      </c>
      <c r="M11" s="14">
        <f>'Input Worksheet'!M92</f>
        <v>47800000</v>
      </c>
      <c r="N11" s="14">
        <f>'Input Worksheet'!N92</f>
        <v>47800000</v>
      </c>
      <c r="O11" s="14">
        <f t="shared" si="0"/>
        <v>310800000</v>
      </c>
    </row>
    <row r="12" spans="2:15" x14ac:dyDescent="0.3">
      <c r="B12" s="3" t="s">
        <v>24</v>
      </c>
      <c r="C12" s="14">
        <f>'Input Worksheet'!C66</f>
        <v>897000</v>
      </c>
      <c r="D12" s="14">
        <f>'Input Worksheet'!D66</f>
        <v>975000</v>
      </c>
      <c r="E12" s="14">
        <f>'Input Worksheet'!E66</f>
        <v>2757000</v>
      </c>
      <c r="F12" s="14">
        <f>'Input Worksheet'!F66</f>
        <v>1209000</v>
      </c>
      <c r="G12" s="14">
        <f>'Input Worksheet'!G66</f>
        <v>1209000</v>
      </c>
      <c r="H12" s="14">
        <f>'Input Worksheet'!H66</f>
        <v>3054000</v>
      </c>
      <c r="I12" s="14">
        <f>'Input Worksheet'!I66</f>
        <v>1326000</v>
      </c>
      <c r="J12" s="14">
        <f>'Input Worksheet'!J66</f>
        <v>1326000</v>
      </c>
      <c r="K12" s="14">
        <f>'Input Worksheet'!K66</f>
        <v>3306000</v>
      </c>
      <c r="L12" s="14">
        <f>'Input Worksheet'!L66</f>
        <v>1326000</v>
      </c>
      <c r="M12" s="14">
        <f>'Input Worksheet'!M66</f>
        <v>1326000</v>
      </c>
      <c r="N12" s="14">
        <f>'Input Worksheet'!N66</f>
        <v>1326000</v>
      </c>
      <c r="O12" s="14">
        <f t="shared" si="0"/>
        <v>20037000</v>
      </c>
    </row>
    <row r="13" spans="2:15" x14ac:dyDescent="0.3">
      <c r="B13" s="3" t="s">
        <v>25</v>
      </c>
      <c r="C13" s="14">
        <f>'Input Worksheet'!C72</f>
        <v>603417.62</v>
      </c>
      <c r="D13" s="14">
        <f>'Input Worksheet'!D72</f>
        <v>588432</v>
      </c>
      <c r="E13" s="14">
        <f>'Input Worksheet'!E72</f>
        <v>1465052.344</v>
      </c>
      <c r="F13" s="14">
        <f>'Input Worksheet'!F72</f>
        <v>953259.84</v>
      </c>
      <c r="G13" s="14">
        <f>'Input Worksheet'!G72</f>
        <v>1211388.7968000001</v>
      </c>
      <c r="H13" s="14">
        <f>'Input Worksheet'!H72</f>
        <v>1348444.4064</v>
      </c>
      <c r="I13" s="14">
        <f>'Input Worksheet'!I72</f>
        <v>1480432.7116799999</v>
      </c>
      <c r="J13" s="14">
        <f>'Input Worksheet'!J72</f>
        <v>1268788.8470399999</v>
      </c>
      <c r="K13" s="14">
        <f>'Input Worksheet'!K72</f>
        <v>1776261.4846079999</v>
      </c>
      <c r="L13" s="14">
        <f>'Input Worksheet'!L72</f>
        <v>1268788.8470399999</v>
      </c>
      <c r="M13" s="14">
        <f>'Input Worksheet'!M72</f>
        <v>1573556.0121215999</v>
      </c>
      <c r="N13" s="14">
        <f>'Input Worksheet'!N72</f>
        <v>1522288.8470399999</v>
      </c>
      <c r="O13" s="14">
        <f t="shared" si="0"/>
        <v>15060111.756729597</v>
      </c>
    </row>
    <row r="14" spans="2:15" x14ac:dyDescent="0.3">
      <c r="B14" s="3" t="s">
        <v>26</v>
      </c>
      <c r="C14" s="14"/>
      <c r="D14" s="14">
        <v>50000</v>
      </c>
      <c r="E14" s="14">
        <v>50000</v>
      </c>
      <c r="F14" s="14">
        <v>50000</v>
      </c>
      <c r="G14" s="14">
        <v>50000</v>
      </c>
      <c r="H14" s="14">
        <v>50000</v>
      </c>
      <c r="I14" s="14">
        <v>50000</v>
      </c>
      <c r="J14" s="14">
        <v>50000</v>
      </c>
      <c r="K14" s="14">
        <v>50000</v>
      </c>
      <c r="L14" s="14">
        <v>50000</v>
      </c>
      <c r="M14" s="14">
        <v>50000</v>
      </c>
      <c r="N14" s="14">
        <v>50000</v>
      </c>
      <c r="O14" s="14">
        <f t="shared" si="0"/>
        <v>550000</v>
      </c>
    </row>
    <row r="15" spans="2:15" x14ac:dyDescent="0.3">
      <c r="B15" s="3" t="s">
        <v>27</v>
      </c>
      <c r="C15" s="14">
        <f>'Input Worksheet'!C76</f>
        <v>30000000</v>
      </c>
      <c r="D15" s="14">
        <f>'Input Worksheet'!D76</f>
        <v>0</v>
      </c>
      <c r="E15" s="14">
        <f>'Input Worksheet'!E76</f>
        <v>0</v>
      </c>
      <c r="F15" s="14">
        <f>'Input Worksheet'!F76</f>
        <v>0</v>
      </c>
      <c r="G15" s="14">
        <f>'Input Worksheet'!G76</f>
        <v>0</v>
      </c>
      <c r="H15" s="14">
        <f>'Input Worksheet'!H76</f>
        <v>0</v>
      </c>
      <c r="I15" s="14">
        <f>'Input Worksheet'!I76</f>
        <v>0</v>
      </c>
      <c r="J15" s="14">
        <f>'Input Worksheet'!J76</f>
        <v>0</v>
      </c>
      <c r="K15" s="14">
        <f>'Input Worksheet'!K76</f>
        <v>0</v>
      </c>
      <c r="L15" s="14">
        <f>'Input Worksheet'!L76</f>
        <v>0</v>
      </c>
      <c r="M15" s="14">
        <f>'Input Worksheet'!M76</f>
        <v>0</v>
      </c>
      <c r="N15" s="14">
        <f>'Input Worksheet'!N76</f>
        <v>0</v>
      </c>
      <c r="O15" s="14">
        <f t="shared" si="0"/>
        <v>30000000</v>
      </c>
    </row>
    <row r="16" spans="2:15" x14ac:dyDescent="0.3">
      <c r="B16" s="3" t="s">
        <v>28</v>
      </c>
      <c r="C16" s="14">
        <f>'Input Worksheet'!C81</f>
        <v>0</v>
      </c>
      <c r="D16" s="14">
        <f>'Input Worksheet'!D81</f>
        <v>0</v>
      </c>
      <c r="E16" s="14">
        <f>'Input Worksheet'!E81</f>
        <v>0</v>
      </c>
      <c r="F16" s="14">
        <f>'Input Worksheet'!F81</f>
        <v>0</v>
      </c>
      <c r="G16" s="14">
        <f>'Input Worksheet'!G81</f>
        <v>0</v>
      </c>
      <c r="H16" s="14">
        <f>'Input Worksheet'!H81</f>
        <v>0</v>
      </c>
      <c r="I16" s="14">
        <f>'Input Worksheet'!I81</f>
        <v>0</v>
      </c>
      <c r="J16" s="14">
        <f>'Input Worksheet'!J81</f>
        <v>0</v>
      </c>
      <c r="K16" s="14">
        <f>'Input Worksheet'!K81</f>
        <v>0</v>
      </c>
      <c r="L16" s="14">
        <f>'Input Worksheet'!L81</f>
        <v>4119615</v>
      </c>
      <c r="M16" s="14">
        <f>'Input Worksheet'!M81</f>
        <v>0</v>
      </c>
      <c r="N16" s="14">
        <f>'Input Worksheet'!N81</f>
        <v>25800000</v>
      </c>
      <c r="O16" s="14">
        <f t="shared" si="0"/>
        <v>29919615</v>
      </c>
    </row>
    <row r="17" spans="2:15" x14ac:dyDescent="0.3">
      <c r="B17" s="3" t="s">
        <v>29</v>
      </c>
      <c r="C17" s="14">
        <f>'Input Worksheet'!C35</f>
        <v>2365333.2999999998</v>
      </c>
      <c r="D17" s="14">
        <f>'Input Worksheet'!D35</f>
        <v>2311333.2999999998</v>
      </c>
      <c r="E17" s="14">
        <f>'Input Worksheet'!E35</f>
        <v>2661333.2999999998</v>
      </c>
      <c r="F17" s="14">
        <f>'Input Worksheet'!F35</f>
        <v>3287085.9583399999</v>
      </c>
      <c r="G17" s="14">
        <f>'Input Worksheet'!G35</f>
        <v>3179085.9583399999</v>
      </c>
      <c r="H17" s="14">
        <f>'Input Worksheet'!H35</f>
        <v>3179085.9583399999</v>
      </c>
      <c r="I17" s="14">
        <f>'Input Worksheet'!I35</f>
        <v>3413006.6307333321</v>
      </c>
      <c r="J17" s="14">
        <f>'Input Worksheet'!J35</f>
        <v>3305006.6307333321</v>
      </c>
      <c r="K17" s="14">
        <f>'Input Worksheet'!K35</f>
        <v>3305006.6307333321</v>
      </c>
      <c r="L17" s="14">
        <f>'Input Worksheet'!L35</f>
        <v>3462382.2870905185</v>
      </c>
      <c r="M17" s="14">
        <f>'Input Worksheet'!M35</f>
        <v>3462382.2870905185</v>
      </c>
      <c r="N17" s="14">
        <f>'Input Worksheet'!N35</f>
        <v>3462382.2870905185</v>
      </c>
      <c r="O17" s="14">
        <f>SUM(C17:N17)</f>
        <v>37393424.528491557</v>
      </c>
    </row>
    <row r="18" spans="2:15" x14ac:dyDescent="0.3">
      <c r="B18" s="3" t="s">
        <v>30</v>
      </c>
      <c r="C18" s="14">
        <f>'Input Worksheet'!C21</f>
        <v>13641222.390000001</v>
      </c>
      <c r="D18" s="14">
        <f>'Input Worksheet'!D21</f>
        <v>16237203.846799999</v>
      </c>
      <c r="E18" s="14">
        <f>'Input Worksheet'!E21</f>
        <v>27949214.178000003</v>
      </c>
      <c r="F18" s="14">
        <f>'Input Worksheet'!F21</f>
        <v>26994693.390000001</v>
      </c>
      <c r="G18" s="14">
        <f>'Input Worksheet'!G21</f>
        <v>18287994.890000001</v>
      </c>
      <c r="H18" s="14">
        <f>'Input Worksheet'!H21</f>
        <v>32768565.942000002</v>
      </c>
      <c r="I18" s="14">
        <f>'Input Worksheet'!I21</f>
        <v>38459526.328000002</v>
      </c>
      <c r="J18" s="14">
        <f>'Input Worksheet'!J21</f>
        <v>20303065.18</v>
      </c>
      <c r="K18" s="14">
        <f>'Input Worksheet'!K21</f>
        <v>35091294.886</v>
      </c>
      <c r="L18" s="14">
        <f>'Input Worksheet'!L21</f>
        <v>35166014.604800001</v>
      </c>
      <c r="M18" s="14">
        <f>'Input Worksheet'!M21</f>
        <v>21004788.390000001</v>
      </c>
      <c r="N18" s="14">
        <f>'Input Worksheet'!N21</f>
        <v>64597783.020000003</v>
      </c>
      <c r="O18" s="14">
        <f>SUM(C18:N18)</f>
        <v>350501367.0456</v>
      </c>
    </row>
    <row r="19" spans="2:15" x14ac:dyDescent="0.3">
      <c r="B19" s="3" t="s">
        <v>31</v>
      </c>
      <c r="C19" s="14">
        <f>'Capital Expenditure'!C9</f>
        <v>0</v>
      </c>
      <c r="D19" s="14">
        <f>'Capital Expenditure'!D9</f>
        <v>0</v>
      </c>
      <c r="E19" s="14">
        <f>'Capital Expenditure'!E9</f>
        <v>0</v>
      </c>
      <c r="F19" s="14">
        <f>'Capital Expenditure'!F9</f>
        <v>0</v>
      </c>
      <c r="G19" s="14">
        <f>'Capital Expenditure'!G9</f>
        <v>0</v>
      </c>
      <c r="H19" s="14">
        <f>'Capital Expenditure'!H9</f>
        <v>0</v>
      </c>
      <c r="I19" s="14">
        <f>'Capital Expenditure'!I9</f>
        <v>0</v>
      </c>
      <c r="J19" s="14">
        <f>'Capital Expenditure'!J9</f>
        <v>0</v>
      </c>
      <c r="K19" s="14">
        <f>'Capital Expenditure'!K9</f>
        <v>0</v>
      </c>
      <c r="L19" s="14">
        <f>'Capital Expenditure'!L9</f>
        <v>0</v>
      </c>
      <c r="M19" s="14">
        <f>'Capital Expenditure'!M9</f>
        <v>0</v>
      </c>
      <c r="N19" s="14">
        <f>'Capital Expenditure'!N9</f>
        <v>0</v>
      </c>
      <c r="O19" s="14">
        <f>SUM(C19:N19)</f>
        <v>0</v>
      </c>
    </row>
    <row r="20" spans="2:15" x14ac:dyDescent="0.3">
      <c r="B20" s="8" t="s">
        <v>16</v>
      </c>
      <c r="C20" s="15" t="e">
        <f>SUM(C5:C19)</f>
        <v>#REF!</v>
      </c>
      <c r="D20" s="15" t="e">
        <f t="shared" ref="D20:N20" si="1">SUM(D5:D19)</f>
        <v>#REF!</v>
      </c>
      <c r="E20" s="15" t="e">
        <f t="shared" si="1"/>
        <v>#REF!</v>
      </c>
      <c r="F20" s="15" t="e">
        <f t="shared" si="1"/>
        <v>#REF!</v>
      </c>
      <c r="G20" s="15" t="e">
        <f t="shared" si="1"/>
        <v>#REF!</v>
      </c>
      <c r="H20" s="15" t="e">
        <f t="shared" si="1"/>
        <v>#REF!</v>
      </c>
      <c r="I20" s="15" t="e">
        <f t="shared" si="1"/>
        <v>#REF!</v>
      </c>
      <c r="J20" s="15" t="e">
        <f t="shared" si="1"/>
        <v>#REF!</v>
      </c>
      <c r="K20" s="15" t="e">
        <f t="shared" si="1"/>
        <v>#REF!</v>
      </c>
      <c r="L20" s="15" t="e">
        <f t="shared" si="1"/>
        <v>#REF!</v>
      </c>
      <c r="M20" s="15" t="e">
        <f t="shared" si="1"/>
        <v>#REF!</v>
      </c>
      <c r="N20" s="15" t="e">
        <f t="shared" si="1"/>
        <v>#REF!</v>
      </c>
      <c r="O20" s="15" t="e">
        <f>SUM(O5:O19)</f>
        <v>#REF!</v>
      </c>
    </row>
    <row r="21" spans="2:15" x14ac:dyDescent="0.3">
      <c r="B21" s="7"/>
    </row>
    <row r="26" spans="2:15" x14ac:dyDescent="0.3">
      <c r="F26" s="33">
        <f>SUM(F17:K17)</f>
        <v>19668277.767219994</v>
      </c>
    </row>
  </sheetData>
  <mergeCells count="2">
    <mergeCell ref="B2:O2"/>
    <mergeCell ref="B3:O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CF2F-EFC0-4838-B6E7-ED688758C800}">
  <dimension ref="C3:D96"/>
  <sheetViews>
    <sheetView topLeftCell="A41" zoomScale="90" zoomScaleNormal="90" workbookViewId="0">
      <selection activeCell="D42" sqref="D42"/>
    </sheetView>
  </sheetViews>
  <sheetFormatPr defaultRowHeight="14.4" x14ac:dyDescent="0.3"/>
  <cols>
    <col min="3" max="3" width="69.33203125" customWidth="1"/>
    <col min="4" max="4" width="174.5546875" customWidth="1"/>
  </cols>
  <sheetData>
    <row r="3" spans="3:4" x14ac:dyDescent="0.3">
      <c r="C3" t="s">
        <v>32</v>
      </c>
    </row>
    <row r="5" spans="3:4" x14ac:dyDescent="0.3">
      <c r="C5" s="3" t="s">
        <v>33</v>
      </c>
      <c r="D5" s="3" t="s">
        <v>34</v>
      </c>
    </row>
    <row r="6" spans="3:4" x14ac:dyDescent="0.3">
      <c r="C6" s="9" t="s">
        <v>35</v>
      </c>
      <c r="D6" s="9" t="s">
        <v>36</v>
      </c>
    </row>
    <row r="7" spans="3:4" x14ac:dyDescent="0.3">
      <c r="C7" s="9" t="s">
        <v>37</v>
      </c>
      <c r="D7" s="9" t="s">
        <v>38</v>
      </c>
    </row>
    <row r="8" spans="3:4" x14ac:dyDescent="0.3">
      <c r="C8" s="9" t="s">
        <v>39</v>
      </c>
      <c r="D8" s="9" t="s">
        <v>40</v>
      </c>
    </row>
    <row r="9" spans="3:4" x14ac:dyDescent="0.3">
      <c r="C9" s="5" t="s">
        <v>16</v>
      </c>
      <c r="D9" s="5"/>
    </row>
    <row r="10" spans="3:4" x14ac:dyDescent="0.3">
      <c r="C10" s="1"/>
      <c r="D10" s="1"/>
    </row>
    <row r="11" spans="3:4" x14ac:dyDescent="0.3">
      <c r="C11" s="3" t="s">
        <v>41</v>
      </c>
      <c r="D11" s="3"/>
    </row>
    <row r="12" spans="3:4" x14ac:dyDescent="0.3">
      <c r="C12" s="9" t="s">
        <v>42</v>
      </c>
      <c r="D12" s="9" t="s">
        <v>43</v>
      </c>
    </row>
    <row r="13" spans="3:4" x14ac:dyDescent="0.3">
      <c r="C13" s="9" t="s">
        <v>44</v>
      </c>
      <c r="D13" s="9" t="s">
        <v>45</v>
      </c>
    </row>
    <row r="14" spans="3:4" x14ac:dyDescent="0.3">
      <c r="C14" s="9" t="s">
        <v>46</v>
      </c>
      <c r="D14" s="9" t="s">
        <v>47</v>
      </c>
    </row>
    <row r="15" spans="3:4" x14ac:dyDescent="0.3">
      <c r="C15" s="9" t="s">
        <v>48</v>
      </c>
      <c r="D15" s="9" t="s">
        <v>49</v>
      </c>
    </row>
    <row r="16" spans="3:4" x14ac:dyDescent="0.3">
      <c r="C16" s="9" t="s">
        <v>50</v>
      </c>
      <c r="D16" s="9" t="s">
        <v>51</v>
      </c>
    </row>
    <row r="17" spans="3:4" ht="28.8" x14ac:dyDescent="0.3">
      <c r="C17" s="9" t="s">
        <v>52</v>
      </c>
      <c r="D17" s="25" t="s">
        <v>53</v>
      </c>
    </row>
    <row r="18" spans="3:4" x14ac:dyDescent="0.3">
      <c r="C18" s="9" t="s">
        <v>54</v>
      </c>
      <c r="D18" s="9" t="s">
        <v>55</v>
      </c>
    </row>
    <row r="19" spans="3:4" x14ac:dyDescent="0.3">
      <c r="C19" s="9" t="s">
        <v>56</v>
      </c>
      <c r="D19" s="9" t="s">
        <v>57</v>
      </c>
    </row>
    <row r="20" spans="3:4" x14ac:dyDescent="0.3">
      <c r="C20" s="9" t="s">
        <v>58</v>
      </c>
      <c r="D20" s="9" t="s">
        <v>59</v>
      </c>
    </row>
    <row r="21" spans="3:4" x14ac:dyDescent="0.3">
      <c r="C21" s="9" t="s">
        <v>60</v>
      </c>
      <c r="D21" s="9" t="s">
        <v>61</v>
      </c>
    </row>
    <row r="22" spans="3:4" x14ac:dyDescent="0.3">
      <c r="C22" s="9" t="s">
        <v>62</v>
      </c>
      <c r="D22" s="9" t="s">
        <v>63</v>
      </c>
    </row>
    <row r="23" spans="3:4" x14ac:dyDescent="0.3">
      <c r="C23" s="9" t="s">
        <v>64</v>
      </c>
      <c r="D23" s="9" t="s">
        <v>65</v>
      </c>
    </row>
    <row r="24" spans="3:4" x14ac:dyDescent="0.3">
      <c r="C24" s="9" t="s">
        <v>66</v>
      </c>
      <c r="D24" s="9" t="s">
        <v>67</v>
      </c>
    </row>
    <row r="25" spans="3:4" x14ac:dyDescent="0.3">
      <c r="C25" s="9" t="s">
        <v>68</v>
      </c>
      <c r="D25" s="9" t="s">
        <v>69</v>
      </c>
    </row>
    <row r="26" spans="3:4" x14ac:dyDescent="0.3">
      <c r="C26" s="9" t="s">
        <v>70</v>
      </c>
      <c r="D26" s="9" t="s">
        <v>69</v>
      </c>
    </row>
    <row r="27" spans="3:4" x14ac:dyDescent="0.3">
      <c r="C27" s="9" t="s">
        <v>71</v>
      </c>
      <c r="D27" s="9" t="s">
        <v>72</v>
      </c>
    </row>
    <row r="28" spans="3:4" x14ac:dyDescent="0.3">
      <c r="C28" s="9" t="s">
        <v>73</v>
      </c>
      <c r="D28" s="9" t="s">
        <v>74</v>
      </c>
    </row>
    <row r="29" spans="3:4" x14ac:dyDescent="0.3">
      <c r="C29" s="9" t="s">
        <v>75</v>
      </c>
      <c r="D29" s="9" t="s">
        <v>76</v>
      </c>
    </row>
    <row r="30" spans="3:4" x14ac:dyDescent="0.3">
      <c r="C30" s="5" t="s">
        <v>16</v>
      </c>
      <c r="D30" s="5"/>
    </row>
    <row r="31" spans="3:4" x14ac:dyDescent="0.3">
      <c r="C31" s="1"/>
      <c r="D31" s="1"/>
    </row>
    <row r="32" spans="3:4" x14ac:dyDescent="0.3">
      <c r="C32" s="3" t="s">
        <v>20</v>
      </c>
      <c r="D32" s="3"/>
    </row>
    <row r="33" spans="3:4" x14ac:dyDescent="0.3">
      <c r="C33" s="9" t="s">
        <v>77</v>
      </c>
      <c r="D33" s="9" t="s">
        <v>78</v>
      </c>
    </row>
    <row r="34" spans="3:4" x14ac:dyDescent="0.3">
      <c r="C34" s="9" t="s">
        <v>79</v>
      </c>
      <c r="D34" s="9" t="s">
        <v>80</v>
      </c>
    </row>
    <row r="35" spans="3:4" x14ac:dyDescent="0.3">
      <c r="C35" s="9" t="s">
        <v>81</v>
      </c>
      <c r="D35" s="9" t="s">
        <v>82</v>
      </c>
    </row>
    <row r="36" spans="3:4" x14ac:dyDescent="0.3">
      <c r="C36" s="9" t="s">
        <v>83</v>
      </c>
      <c r="D36" s="9" t="s">
        <v>84</v>
      </c>
    </row>
    <row r="37" spans="3:4" x14ac:dyDescent="0.3">
      <c r="C37" s="5" t="s">
        <v>16</v>
      </c>
      <c r="D37" s="5"/>
    </row>
    <row r="38" spans="3:4" x14ac:dyDescent="0.3">
      <c r="C38" s="1"/>
      <c r="D38" s="1"/>
    </row>
    <row r="39" spans="3:4" x14ac:dyDescent="0.3">
      <c r="C39" s="1"/>
      <c r="D39" s="1"/>
    </row>
    <row r="40" spans="3:4" x14ac:dyDescent="0.3">
      <c r="C40" s="3" t="s">
        <v>85</v>
      </c>
      <c r="D40" s="3"/>
    </row>
    <row r="41" spans="3:4" x14ac:dyDescent="0.3">
      <c r="C41" s="9" t="s">
        <v>86</v>
      </c>
      <c r="D41" s="9" t="s">
        <v>87</v>
      </c>
    </row>
    <row r="42" spans="3:4" x14ac:dyDescent="0.3">
      <c r="C42" s="9" t="s">
        <v>88</v>
      </c>
      <c r="D42" s="9" t="s">
        <v>89</v>
      </c>
    </row>
    <row r="43" spans="3:4" x14ac:dyDescent="0.3">
      <c r="C43" s="9" t="s">
        <v>90</v>
      </c>
      <c r="D43" s="9" t="s">
        <v>91</v>
      </c>
    </row>
    <row r="44" spans="3:4" x14ac:dyDescent="0.3">
      <c r="C44" s="5" t="s">
        <v>16</v>
      </c>
      <c r="D44" s="5"/>
    </row>
    <row r="45" spans="3:4" x14ac:dyDescent="0.3">
      <c r="C45" s="1"/>
      <c r="D45" s="1"/>
    </row>
    <row r="46" spans="3:4" x14ac:dyDescent="0.3">
      <c r="C46" s="1"/>
      <c r="D46" s="1"/>
    </row>
    <row r="47" spans="3:4" x14ac:dyDescent="0.3">
      <c r="C47" s="3" t="s">
        <v>21</v>
      </c>
      <c r="D47" s="3"/>
    </row>
    <row r="48" spans="3:4" x14ac:dyDescent="0.3">
      <c r="C48" s="9" t="s">
        <v>92</v>
      </c>
      <c r="D48" s="9" t="s">
        <v>93</v>
      </c>
    </row>
    <row r="49" spans="3:4" x14ac:dyDescent="0.3">
      <c r="C49" s="9" t="s">
        <v>94</v>
      </c>
      <c r="D49" s="9" t="s">
        <v>95</v>
      </c>
    </row>
    <row r="50" spans="3:4" x14ac:dyDescent="0.3">
      <c r="C50" s="9" t="s">
        <v>96</v>
      </c>
      <c r="D50" s="9" t="s">
        <v>97</v>
      </c>
    </row>
    <row r="51" spans="3:4" x14ac:dyDescent="0.3">
      <c r="C51" s="5" t="s">
        <v>16</v>
      </c>
      <c r="D51" s="5"/>
    </row>
    <row r="52" spans="3:4" x14ac:dyDescent="0.3">
      <c r="C52" s="1"/>
      <c r="D52" s="1"/>
    </row>
    <row r="53" spans="3:4" x14ac:dyDescent="0.3">
      <c r="C53" s="1"/>
      <c r="D53" s="1"/>
    </row>
    <row r="54" spans="3:4" x14ac:dyDescent="0.3">
      <c r="C54" s="3" t="s">
        <v>98</v>
      </c>
      <c r="D54" s="3"/>
    </row>
    <row r="55" spans="3:4" x14ac:dyDescent="0.3">
      <c r="C55" s="9" t="s">
        <v>99</v>
      </c>
      <c r="D55" s="9" t="s">
        <v>100</v>
      </c>
    </row>
    <row r="56" spans="3:4" x14ac:dyDescent="0.3">
      <c r="C56" s="9" t="s">
        <v>101</v>
      </c>
      <c r="D56" s="9" t="s">
        <v>102</v>
      </c>
    </row>
    <row r="57" spans="3:4" x14ac:dyDescent="0.3">
      <c r="C57" s="9" t="s">
        <v>103</v>
      </c>
      <c r="D57" s="9" t="s">
        <v>104</v>
      </c>
    </row>
    <row r="58" spans="3:4" x14ac:dyDescent="0.3">
      <c r="C58" s="5" t="s">
        <v>16</v>
      </c>
      <c r="D58" s="5"/>
    </row>
    <row r="59" spans="3:4" x14ac:dyDescent="0.3">
      <c r="C59" s="1"/>
      <c r="D59" s="1"/>
    </row>
    <row r="60" spans="3:4" x14ac:dyDescent="0.3">
      <c r="C60" s="1"/>
      <c r="D60" s="1"/>
    </row>
    <row r="61" spans="3:4" x14ac:dyDescent="0.3">
      <c r="C61" s="3" t="s">
        <v>105</v>
      </c>
      <c r="D61" s="3"/>
    </row>
    <row r="62" spans="3:4" x14ac:dyDescent="0.3">
      <c r="C62" s="9" t="s">
        <v>106</v>
      </c>
      <c r="D62" s="9" t="s">
        <v>107</v>
      </c>
    </row>
    <row r="63" spans="3:4" x14ac:dyDescent="0.3">
      <c r="C63" s="5" t="s">
        <v>16</v>
      </c>
      <c r="D63" s="5"/>
    </row>
    <row r="64" spans="3:4" x14ac:dyDescent="0.3">
      <c r="C64" s="1"/>
      <c r="D64" s="1"/>
    </row>
    <row r="65" spans="3:4" x14ac:dyDescent="0.3">
      <c r="C65" s="3" t="s">
        <v>108</v>
      </c>
      <c r="D65" s="3"/>
    </row>
    <row r="66" spans="3:4" x14ac:dyDescent="0.3">
      <c r="C66" s="9" t="s">
        <v>109</v>
      </c>
      <c r="D66" s="9" t="s">
        <v>110</v>
      </c>
    </row>
    <row r="67" spans="3:4" x14ac:dyDescent="0.3">
      <c r="C67" s="9" t="s">
        <v>111</v>
      </c>
      <c r="D67" s="9" t="s">
        <v>112</v>
      </c>
    </row>
    <row r="68" spans="3:4" x14ac:dyDescent="0.3">
      <c r="C68" s="9" t="s">
        <v>113</v>
      </c>
      <c r="D68" s="9" t="s">
        <v>114</v>
      </c>
    </row>
    <row r="69" spans="3:4" x14ac:dyDescent="0.3">
      <c r="C69" s="5" t="s">
        <v>16</v>
      </c>
      <c r="D69" s="5"/>
    </row>
    <row r="70" spans="3:4" x14ac:dyDescent="0.3">
      <c r="C70" s="1"/>
      <c r="D70" s="1"/>
    </row>
    <row r="71" spans="3:4" x14ac:dyDescent="0.3">
      <c r="C71" s="3" t="s">
        <v>24</v>
      </c>
      <c r="D71" s="3"/>
    </row>
    <row r="72" spans="3:4" x14ac:dyDescent="0.3">
      <c r="C72" s="9" t="s">
        <v>115</v>
      </c>
      <c r="D72" s="9" t="s">
        <v>116</v>
      </c>
    </row>
    <row r="73" spans="3:4" x14ac:dyDescent="0.3">
      <c r="C73" s="9" t="s">
        <v>117</v>
      </c>
      <c r="D73" s="9" t="s">
        <v>118</v>
      </c>
    </row>
    <row r="74" spans="3:4" x14ac:dyDescent="0.3">
      <c r="C74" s="5" t="s">
        <v>16</v>
      </c>
      <c r="D74" s="5"/>
    </row>
    <row r="75" spans="3:4" x14ac:dyDescent="0.3">
      <c r="C75" s="1"/>
      <c r="D75" s="1"/>
    </row>
    <row r="76" spans="3:4" x14ac:dyDescent="0.3">
      <c r="C76" s="3" t="s">
        <v>119</v>
      </c>
      <c r="D76" s="3"/>
    </row>
    <row r="77" spans="3:4" x14ac:dyDescent="0.3">
      <c r="C77" s="9" t="s">
        <v>120</v>
      </c>
      <c r="D77" s="9" t="s">
        <v>121</v>
      </c>
    </row>
    <row r="78" spans="3:4" x14ac:dyDescent="0.3">
      <c r="C78" s="9" t="s">
        <v>122</v>
      </c>
      <c r="D78" s="9" t="s">
        <v>123</v>
      </c>
    </row>
    <row r="79" spans="3:4" x14ac:dyDescent="0.3">
      <c r="C79" s="9" t="s">
        <v>124</v>
      </c>
      <c r="D79" s="9" t="s">
        <v>125</v>
      </c>
    </row>
    <row r="80" spans="3:4" x14ac:dyDescent="0.3">
      <c r="C80" s="5" t="s">
        <v>16</v>
      </c>
      <c r="D80" s="5"/>
    </row>
    <row r="81" spans="3:4" x14ac:dyDescent="0.3">
      <c r="C81" s="1"/>
      <c r="D81" s="1"/>
    </row>
    <row r="82" spans="3:4" x14ac:dyDescent="0.3">
      <c r="C82" s="3" t="s">
        <v>126</v>
      </c>
      <c r="D82" s="3"/>
    </row>
    <row r="83" spans="3:4" x14ac:dyDescent="0.3">
      <c r="C83" s="9" t="s">
        <v>127</v>
      </c>
      <c r="D83" s="9" t="s">
        <v>128</v>
      </c>
    </row>
    <row r="84" spans="3:4" x14ac:dyDescent="0.3">
      <c r="C84" s="5" t="s">
        <v>16</v>
      </c>
      <c r="D84" s="5"/>
    </row>
    <row r="85" spans="3:4" x14ac:dyDescent="0.3">
      <c r="C85" s="1"/>
      <c r="D85" s="1"/>
    </row>
    <row r="86" spans="3:4" x14ac:dyDescent="0.3">
      <c r="C86" s="3" t="s">
        <v>129</v>
      </c>
      <c r="D86" s="3"/>
    </row>
    <row r="87" spans="3:4" x14ac:dyDescent="0.3">
      <c r="C87" s="9" t="s">
        <v>130</v>
      </c>
      <c r="D87" s="9" t="s">
        <v>131</v>
      </c>
    </row>
    <row r="88" spans="3:4" x14ac:dyDescent="0.3">
      <c r="C88" s="5" t="s">
        <v>16</v>
      </c>
      <c r="D88" s="5"/>
    </row>
    <row r="89" spans="3:4" x14ac:dyDescent="0.3">
      <c r="C89" s="1"/>
      <c r="D89" s="1"/>
    </row>
    <row r="90" spans="3:4" x14ac:dyDescent="0.3">
      <c r="C90" s="32" t="s">
        <v>132</v>
      </c>
      <c r="D90" s="9" t="s">
        <v>133</v>
      </c>
    </row>
    <row r="91" spans="3:4" x14ac:dyDescent="0.3">
      <c r="C91" s="1"/>
      <c r="D91" s="1"/>
    </row>
    <row r="92" spans="3:4" x14ac:dyDescent="0.3">
      <c r="C92" s="3" t="s">
        <v>134</v>
      </c>
      <c r="D92" s="9"/>
    </row>
    <row r="93" spans="3:4" x14ac:dyDescent="0.3">
      <c r="C93" s="9" t="s">
        <v>135</v>
      </c>
      <c r="D93" s="9" t="s">
        <v>136</v>
      </c>
    </row>
    <row r="94" spans="3:4" x14ac:dyDescent="0.3">
      <c r="C94" s="9" t="s">
        <v>137</v>
      </c>
      <c r="D94" s="9" t="s">
        <v>136</v>
      </c>
    </row>
    <row r="95" spans="3:4" x14ac:dyDescent="0.3">
      <c r="C95" s="9" t="s">
        <v>138</v>
      </c>
      <c r="D95" s="9" t="s">
        <v>136</v>
      </c>
    </row>
    <row r="96" spans="3:4" x14ac:dyDescent="0.3">
      <c r="C96" s="9" t="s">
        <v>139</v>
      </c>
      <c r="D96" s="9" t="s">
        <v>136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F269F-6AAC-4D6C-B7C2-53CFA9912D94}">
  <dimension ref="B1:Q94"/>
  <sheetViews>
    <sheetView zoomScaleNormal="100" workbookViewId="0">
      <pane ySplit="1" topLeftCell="A33" activePane="bottomLeft" state="frozen"/>
      <selection pane="bottomLeft" activeCell="C40" sqref="C40"/>
    </sheetView>
  </sheetViews>
  <sheetFormatPr defaultRowHeight="14.4" x14ac:dyDescent="0.3"/>
  <cols>
    <col min="2" max="2" width="46.33203125" customWidth="1"/>
    <col min="3" max="3" width="21.6640625" style="21" bestFit="1" customWidth="1"/>
    <col min="4" max="4" width="13.88671875" bestFit="1" customWidth="1"/>
    <col min="5" max="5" width="15" bestFit="1" customWidth="1"/>
    <col min="6" max="6" width="14.33203125" bestFit="1" customWidth="1"/>
    <col min="7" max="8" width="15" bestFit="1" customWidth="1"/>
    <col min="9" max="10" width="13.88671875" bestFit="1" customWidth="1"/>
    <col min="11" max="12" width="15" bestFit="1" customWidth="1"/>
    <col min="13" max="13" width="13.88671875" bestFit="1" customWidth="1"/>
    <col min="14" max="14" width="15" bestFit="1" customWidth="1"/>
    <col min="15" max="15" width="15.33203125" bestFit="1" customWidth="1"/>
    <col min="17" max="17" width="13.33203125" bestFit="1" customWidth="1"/>
  </cols>
  <sheetData>
    <row r="1" spans="2:17" x14ac:dyDescent="0.3">
      <c r="B1" s="6"/>
      <c r="C1" s="18" t="s">
        <v>4</v>
      </c>
      <c r="D1" s="6" t="s">
        <v>5</v>
      </c>
      <c r="E1" s="6" t="s">
        <v>6</v>
      </c>
      <c r="F1" s="6" t="s">
        <v>7</v>
      </c>
      <c r="G1" s="6" t="s">
        <v>8</v>
      </c>
      <c r="H1" s="6" t="s">
        <v>9</v>
      </c>
      <c r="I1" s="6" t="s">
        <v>10</v>
      </c>
      <c r="J1" s="6" t="s">
        <v>11</v>
      </c>
      <c r="K1" s="6" t="s">
        <v>12</v>
      </c>
      <c r="L1" s="6" t="s">
        <v>13</v>
      </c>
      <c r="M1" s="6" t="s">
        <v>14</v>
      </c>
      <c r="N1" s="6" t="s">
        <v>15</v>
      </c>
      <c r="O1" s="6" t="s">
        <v>16</v>
      </c>
    </row>
    <row r="2" spans="2:17" x14ac:dyDescent="0.3">
      <c r="B2" s="3" t="s">
        <v>33</v>
      </c>
      <c r="C2" s="19"/>
      <c r="D2" s="1"/>
      <c r="E2" s="1"/>
      <c r="F2" s="1"/>
      <c r="G2" s="1"/>
      <c r="H2" s="1"/>
      <c r="I2" s="1"/>
      <c r="J2" s="1"/>
      <c r="K2" s="1"/>
      <c r="L2" s="1"/>
      <c r="M2" s="1"/>
      <c r="N2" s="1"/>
      <c r="O2" s="1"/>
    </row>
    <row r="3" spans="2:17" x14ac:dyDescent="0.3">
      <c r="B3" s="9" t="s">
        <v>35</v>
      </c>
      <c r="C3" s="19">
        <f>270000*1.3</f>
        <v>351000</v>
      </c>
      <c r="D3" s="19">
        <f t="shared" ref="D3:E3" si="0">270000*1.3</f>
        <v>351000</v>
      </c>
      <c r="E3" s="19">
        <f t="shared" si="0"/>
        <v>351000</v>
      </c>
      <c r="F3" s="19">
        <f>C3*1.1</f>
        <v>386100.00000000006</v>
      </c>
      <c r="G3" s="19">
        <f t="shared" ref="G3:H3" si="1">D3*1.1</f>
        <v>386100.00000000006</v>
      </c>
      <c r="H3" s="19">
        <f t="shared" si="1"/>
        <v>386100.00000000006</v>
      </c>
      <c r="I3" s="19">
        <f>F3*1.1</f>
        <v>424710.00000000012</v>
      </c>
      <c r="J3" s="19">
        <f t="shared" ref="J3:K3" si="2">G3*1.1</f>
        <v>424710.00000000012</v>
      </c>
      <c r="K3" s="19">
        <f t="shared" si="2"/>
        <v>424710.00000000012</v>
      </c>
      <c r="L3" s="19">
        <f>I3*1.1</f>
        <v>467181.00000000017</v>
      </c>
      <c r="M3" s="19">
        <f t="shared" ref="M3:N3" si="3">J3*1.1</f>
        <v>467181.00000000017</v>
      </c>
      <c r="N3" s="19">
        <f t="shared" si="3"/>
        <v>467181.00000000017</v>
      </c>
      <c r="O3" s="19">
        <f>SUM(C3:N3)</f>
        <v>4886973</v>
      </c>
    </row>
    <row r="4" spans="2:17" x14ac:dyDescent="0.3">
      <c r="B4" s="9" t="s">
        <v>37</v>
      </c>
      <c r="C4" s="19"/>
      <c r="D4" s="19"/>
      <c r="E4" s="19"/>
      <c r="F4" s="19"/>
      <c r="G4" s="19"/>
      <c r="H4" s="19"/>
      <c r="I4" s="19"/>
      <c r="J4" s="19"/>
      <c r="K4" s="19"/>
      <c r="L4" s="19"/>
      <c r="M4" s="19"/>
      <c r="N4" s="19">
        <f>300000*1.3</f>
        <v>390000</v>
      </c>
      <c r="O4" s="19">
        <f t="shared" ref="O4" si="4">SUM(C4:N4)</f>
        <v>390000</v>
      </c>
    </row>
    <row r="5" spans="2:17" x14ac:dyDescent="0.3">
      <c r="B5" s="9" t="s">
        <v>39</v>
      </c>
      <c r="D5" s="19">
        <f>645000+(645000*0.3)</f>
        <v>838500</v>
      </c>
      <c r="E5" s="19"/>
      <c r="F5" s="19"/>
      <c r="G5" s="19">
        <f>D5</f>
        <v>838500</v>
      </c>
      <c r="H5" s="19"/>
      <c r="I5" s="19"/>
      <c r="J5" s="19">
        <f>G5*1.2</f>
        <v>1006200</v>
      </c>
      <c r="K5" s="19"/>
      <c r="M5" s="19">
        <f>J5</f>
        <v>1006200</v>
      </c>
      <c r="N5" s="19"/>
      <c r="O5" s="19">
        <f>SUM(C5:N5)</f>
        <v>3689400</v>
      </c>
    </row>
    <row r="6" spans="2:17" x14ac:dyDescent="0.3">
      <c r="B6" s="5" t="s">
        <v>16</v>
      </c>
      <c r="C6" s="16">
        <f>SUM(C3:C5)</f>
        <v>351000</v>
      </c>
      <c r="D6" s="16">
        <f t="shared" ref="D6:N6" si="5">SUM(D3:D5)</f>
        <v>1189500</v>
      </c>
      <c r="E6" s="16">
        <f t="shared" si="5"/>
        <v>351000</v>
      </c>
      <c r="F6" s="16">
        <f t="shared" si="5"/>
        <v>386100.00000000006</v>
      </c>
      <c r="G6" s="16">
        <f t="shared" si="5"/>
        <v>1224600</v>
      </c>
      <c r="H6" s="16">
        <f t="shared" si="5"/>
        <v>386100.00000000006</v>
      </c>
      <c r="I6" s="16">
        <f t="shared" si="5"/>
        <v>424710.00000000012</v>
      </c>
      <c r="J6" s="16">
        <f>SUM(J3:J5)</f>
        <v>1430910</v>
      </c>
      <c r="K6" s="16">
        <f t="shared" si="5"/>
        <v>424710.00000000012</v>
      </c>
      <c r="L6" s="16">
        <f t="shared" si="5"/>
        <v>467181.00000000017</v>
      </c>
      <c r="M6" s="16">
        <f>SUM(M3:M5)</f>
        <v>1473381.0000000002</v>
      </c>
      <c r="N6" s="16">
        <f t="shared" si="5"/>
        <v>857181.00000000023</v>
      </c>
      <c r="O6" s="16">
        <f>SUM(O3:O5)</f>
        <v>8966373</v>
      </c>
    </row>
    <row r="7" spans="2:17" x14ac:dyDescent="0.3">
      <c r="B7" s="1"/>
      <c r="C7" s="19"/>
      <c r="D7" s="19"/>
      <c r="E7" s="19"/>
      <c r="F7" s="19"/>
      <c r="G7" s="19"/>
      <c r="H7" s="19"/>
      <c r="I7" s="19"/>
      <c r="J7" s="19"/>
      <c r="K7" s="19"/>
      <c r="L7" s="19"/>
      <c r="M7" s="19"/>
      <c r="N7" s="19"/>
      <c r="O7" s="19"/>
    </row>
    <row r="8" spans="2:17" x14ac:dyDescent="0.3">
      <c r="B8" s="3" t="s">
        <v>41</v>
      </c>
      <c r="C8" s="19"/>
      <c r="D8" s="19"/>
      <c r="E8" s="19"/>
      <c r="F8" s="19"/>
      <c r="G8" s="19"/>
      <c r="H8" s="19"/>
      <c r="I8" s="19"/>
      <c r="J8" s="19"/>
      <c r="K8" s="19"/>
      <c r="L8" s="19"/>
      <c r="M8" s="19"/>
      <c r="N8" s="19"/>
      <c r="O8" s="19"/>
    </row>
    <row r="9" spans="2:17" x14ac:dyDescent="0.3">
      <c r="B9" s="9" t="s">
        <v>42</v>
      </c>
      <c r="C9" s="19">
        <v>6886501.4562999988</v>
      </c>
      <c r="D9" s="19">
        <v>6886501.4562999988</v>
      </c>
      <c r="E9" s="19">
        <v>6886501.4562999988</v>
      </c>
      <c r="F9" s="19">
        <v>6886501.4562999988</v>
      </c>
      <c r="G9" s="19">
        <v>6886501.4562999988</v>
      </c>
      <c r="H9" s="19">
        <v>6886501.4562999988</v>
      </c>
      <c r="I9" s="19">
        <v>6886501.4562999988</v>
      </c>
      <c r="J9" s="19">
        <v>6886501.4562999988</v>
      </c>
      <c r="K9" s="19">
        <v>6886501.4562999988</v>
      </c>
      <c r="L9" s="19">
        <v>6886501.4562999988</v>
      </c>
      <c r="M9" s="19">
        <v>6886501.4562999988</v>
      </c>
      <c r="N9" s="19">
        <v>6886501.4562999997</v>
      </c>
      <c r="O9" s="19">
        <f>SUM(C9:N9)</f>
        <v>82638017.475600004</v>
      </c>
      <c r="Q9" s="24"/>
    </row>
    <row r="10" spans="2:17" x14ac:dyDescent="0.3">
      <c r="B10" s="9" t="s">
        <v>44</v>
      </c>
      <c r="C10" s="19"/>
      <c r="D10" s="19"/>
      <c r="E10" s="19">
        <v>150000</v>
      </c>
      <c r="F10" s="19">
        <v>685742</v>
      </c>
      <c r="G10" s="19"/>
      <c r="H10" s="19">
        <f>300000+465134.06</f>
        <v>765134.06</v>
      </c>
      <c r="I10" s="19">
        <v>150000</v>
      </c>
      <c r="J10" s="19"/>
      <c r="K10" s="19">
        <f>300000+597864</f>
        <v>897864</v>
      </c>
      <c r="L10" s="19">
        <v>382570.29</v>
      </c>
      <c r="M10" s="19">
        <v>150000</v>
      </c>
      <c r="N10" s="19">
        <v>298494.2</v>
      </c>
      <c r="O10" s="19">
        <f t="shared" ref="O10:O18" si="6">SUM(C10:N10)</f>
        <v>3479804.5500000003</v>
      </c>
    </row>
    <row r="11" spans="2:17" x14ac:dyDescent="0.3">
      <c r="B11" s="9" t="s">
        <v>46</v>
      </c>
      <c r="C11" s="19">
        <f>C9*0.75</f>
        <v>5164876.0922249993</v>
      </c>
      <c r="D11" s="19"/>
      <c r="E11" s="19"/>
      <c r="F11" s="19"/>
      <c r="G11" s="19"/>
      <c r="H11" s="19"/>
      <c r="I11" s="19">
        <f>G9*0.75</f>
        <v>5164876.0922249993</v>
      </c>
      <c r="J11" s="19"/>
      <c r="K11" s="19"/>
      <c r="L11" s="19">
        <f>J9*0.75</f>
        <v>5164876.0922249993</v>
      </c>
      <c r="M11" s="19"/>
      <c r="N11" s="19"/>
      <c r="O11" s="19">
        <f t="shared" si="6"/>
        <v>15494628.276674997</v>
      </c>
    </row>
    <row r="12" spans="2:17" x14ac:dyDescent="0.3">
      <c r="B12" s="9" t="s">
        <v>48</v>
      </c>
      <c r="C12" s="19"/>
      <c r="D12" s="19"/>
      <c r="E12" s="19"/>
      <c r="F12" s="19"/>
      <c r="G12" s="19"/>
      <c r="H12" s="19"/>
      <c r="I12" s="19"/>
      <c r="J12" s="19"/>
      <c r="K12" s="19"/>
      <c r="L12" s="19"/>
      <c r="M12" s="19"/>
      <c r="N12" s="19">
        <f>N9+N16</f>
        <v>9786916.0163000003</v>
      </c>
      <c r="O12" s="19">
        <f t="shared" si="6"/>
        <v>9786916.0163000003</v>
      </c>
    </row>
    <row r="13" spans="2:17" x14ac:dyDescent="0.3">
      <c r="B13" s="9" t="s">
        <v>50</v>
      </c>
      <c r="C13" s="19"/>
      <c r="D13" s="19"/>
      <c r="E13" s="19"/>
      <c r="F13" s="19"/>
      <c r="G13" s="19"/>
      <c r="H13" s="19"/>
      <c r="I13" s="19">
        <f>C9*0.25</f>
        <v>1721625.3640749997</v>
      </c>
      <c r="J13" s="19"/>
      <c r="K13" s="19"/>
      <c r="L13" s="19"/>
      <c r="M13" s="19"/>
      <c r="N13" s="19"/>
      <c r="O13" s="19"/>
    </row>
    <row r="14" spans="2:17" x14ac:dyDescent="0.3">
      <c r="B14" s="9" t="s">
        <v>52</v>
      </c>
      <c r="C14" s="19"/>
      <c r="D14" s="19"/>
      <c r="E14" s="19"/>
      <c r="F14" s="19"/>
      <c r="G14" s="19"/>
      <c r="H14" s="19"/>
      <c r="I14" s="19"/>
      <c r="J14" s="19"/>
      <c r="K14" s="19"/>
      <c r="L14" s="19"/>
      <c r="M14" s="19"/>
      <c r="N14" s="19">
        <f>1060000*1.3</f>
        <v>1378000</v>
      </c>
      <c r="O14" s="19">
        <f t="shared" si="6"/>
        <v>1378000</v>
      </c>
    </row>
    <row r="15" spans="2:17" x14ac:dyDescent="0.3">
      <c r="B15" s="9" t="s">
        <v>54</v>
      </c>
      <c r="C15" s="19"/>
      <c r="D15" s="19"/>
      <c r="E15" s="19">
        <v>2700000</v>
      </c>
      <c r="F15" s="19"/>
      <c r="G15" s="19"/>
      <c r="H15" s="19">
        <v>2700000</v>
      </c>
      <c r="I15" s="19"/>
      <c r="J15" s="19"/>
      <c r="K15" s="19">
        <v>2700000</v>
      </c>
      <c r="L15" s="19"/>
      <c r="M15" s="19"/>
      <c r="N15" s="19">
        <v>2700000</v>
      </c>
      <c r="O15" s="19">
        <f t="shared" si="6"/>
        <v>10800000</v>
      </c>
    </row>
    <row r="16" spans="2:17" x14ac:dyDescent="0.3">
      <c r="B16" s="9" t="s">
        <v>56</v>
      </c>
      <c r="C16" s="19">
        <v>2900414.56</v>
      </c>
      <c r="D16" s="19">
        <v>2900414.56</v>
      </c>
      <c r="E16" s="19">
        <v>2900414.56</v>
      </c>
      <c r="F16" s="19">
        <v>2900414.56</v>
      </c>
      <c r="G16" s="19">
        <v>2900414.56</v>
      </c>
      <c r="H16" s="19">
        <v>2900414.56</v>
      </c>
      <c r="I16" s="19">
        <v>2900414.56</v>
      </c>
      <c r="J16" s="19">
        <v>2900414.56</v>
      </c>
      <c r="K16" s="19">
        <v>2900414.56</v>
      </c>
      <c r="L16" s="19">
        <v>2900414.56</v>
      </c>
      <c r="M16" s="19">
        <v>2900414.56</v>
      </c>
      <c r="N16" s="19">
        <v>2900414.56</v>
      </c>
      <c r="O16" s="19">
        <f t="shared" si="6"/>
        <v>34804974.719999991</v>
      </c>
    </row>
    <row r="17" spans="2:15" x14ac:dyDescent="0.3">
      <c r="B17" s="9" t="s">
        <v>58</v>
      </c>
      <c r="C17" s="19"/>
      <c r="D17" s="19"/>
      <c r="E17" s="19"/>
      <c r="F17" s="19"/>
      <c r="G17" s="19"/>
      <c r="H17" s="19"/>
      <c r="I17" s="19">
        <f>I16*0.75</f>
        <v>2175310.92</v>
      </c>
      <c r="J17" s="19"/>
      <c r="K17" s="19"/>
      <c r="L17" s="19"/>
      <c r="M17" s="19"/>
      <c r="N17" s="19">
        <f>N16*0.75</f>
        <v>2175310.92</v>
      </c>
      <c r="O17" s="19">
        <f t="shared" si="6"/>
        <v>4350621.84</v>
      </c>
    </row>
    <row r="18" spans="2:15" x14ac:dyDescent="0.3">
      <c r="B18" s="9" t="s">
        <v>60</v>
      </c>
      <c r="C18" s="19"/>
      <c r="D18" s="19"/>
      <c r="E18" s="19"/>
      <c r="F18" s="19"/>
      <c r="G18" s="19"/>
      <c r="H18" s="19"/>
      <c r="I18" s="19"/>
      <c r="J18" s="19"/>
      <c r="K18" s="19"/>
      <c r="L18" s="19">
        <v>5500000</v>
      </c>
      <c r="M18" s="19"/>
      <c r="N18" s="19"/>
      <c r="O18" s="19">
        <f t="shared" si="6"/>
        <v>5500000</v>
      </c>
    </row>
    <row r="19" spans="2:15" x14ac:dyDescent="0.3">
      <c r="B19" s="9" t="s">
        <v>62</v>
      </c>
      <c r="C19" s="19">
        <v>497114.93519999995</v>
      </c>
      <c r="D19" s="19">
        <v>497114.93519999995</v>
      </c>
      <c r="E19" s="19">
        <v>497114.93519999995</v>
      </c>
      <c r="F19" s="19">
        <v>497114.93519999995</v>
      </c>
      <c r="G19" s="19">
        <v>497114.93519999995</v>
      </c>
      <c r="H19" s="19">
        <v>497114.93519999995</v>
      </c>
      <c r="I19" s="19">
        <v>497114.93519999995</v>
      </c>
      <c r="J19" s="19">
        <v>497114.93519999995</v>
      </c>
      <c r="K19" s="19">
        <v>497114.93519999995</v>
      </c>
      <c r="L19" s="19">
        <v>497114.93519999995</v>
      </c>
      <c r="M19" s="19">
        <v>497114.93519999995</v>
      </c>
      <c r="N19" s="19">
        <v>497114.93519999995</v>
      </c>
      <c r="O19" s="19">
        <f t="shared" ref="O19:O25" si="7">SUM(C19:N19)</f>
        <v>5965379.2224000013</v>
      </c>
    </row>
    <row r="20" spans="2:15" x14ac:dyDescent="0.3">
      <c r="B20" s="9" t="s">
        <v>64</v>
      </c>
      <c r="C20" s="19">
        <v>113399.45999999999</v>
      </c>
      <c r="D20" s="19">
        <v>113399.45999999999</v>
      </c>
      <c r="E20" s="19">
        <v>113399.45999999999</v>
      </c>
      <c r="F20" s="19">
        <v>113399.45999999999</v>
      </c>
      <c r="G20" s="19">
        <v>113399.45999999999</v>
      </c>
      <c r="H20" s="19">
        <v>113399.45999999999</v>
      </c>
      <c r="I20" s="19">
        <v>113399.45999999999</v>
      </c>
      <c r="J20" s="19">
        <v>113399.45999999999</v>
      </c>
      <c r="K20" s="19">
        <v>113399.45999999999</v>
      </c>
      <c r="L20" s="19">
        <v>113399.45999999999</v>
      </c>
      <c r="M20" s="19">
        <v>113399.45999999999</v>
      </c>
      <c r="N20" s="19">
        <v>113399.45999999999</v>
      </c>
      <c r="O20" s="19">
        <f t="shared" si="7"/>
        <v>1360793.5199999998</v>
      </c>
    </row>
    <row r="21" spans="2:15" x14ac:dyDescent="0.3">
      <c r="B21" s="9" t="s">
        <v>66</v>
      </c>
      <c r="C21" s="19"/>
      <c r="D21" s="19"/>
      <c r="E21" s="19">
        <v>2761297.04</v>
      </c>
      <c r="F21" s="19"/>
      <c r="G21" s="19"/>
      <c r="H21" s="19"/>
      <c r="I21" s="19"/>
      <c r="J21" s="19"/>
      <c r="K21" s="19"/>
      <c r="L21" s="19"/>
      <c r="M21" s="19"/>
      <c r="N21" s="19"/>
      <c r="O21" s="19">
        <f t="shared" si="7"/>
        <v>2761297.04</v>
      </c>
    </row>
    <row r="22" spans="2:15" x14ac:dyDescent="0.3">
      <c r="B22" s="9" t="s">
        <v>68</v>
      </c>
      <c r="C22" s="19"/>
      <c r="D22" s="19"/>
      <c r="E22" s="19">
        <f>N12*12 *0.01</f>
        <v>1174429.9219560002</v>
      </c>
      <c r="F22" s="19"/>
      <c r="G22" s="19"/>
      <c r="H22" s="19"/>
      <c r="I22" s="19"/>
      <c r="J22" s="19"/>
      <c r="K22" s="19"/>
      <c r="L22" s="19"/>
      <c r="M22" s="19"/>
      <c r="N22" s="19"/>
      <c r="O22" s="19">
        <f t="shared" si="7"/>
        <v>1174429.9219560002</v>
      </c>
    </row>
    <row r="23" spans="2:15" x14ac:dyDescent="0.3">
      <c r="B23" s="9" t="s">
        <v>70</v>
      </c>
      <c r="C23" s="19"/>
      <c r="D23" s="19"/>
      <c r="E23" s="19"/>
      <c r="F23" s="19"/>
      <c r="G23" s="19"/>
      <c r="H23" s="19"/>
      <c r="I23" s="19"/>
      <c r="J23" s="19"/>
      <c r="K23" s="19"/>
      <c r="L23" s="19">
        <f>N12*12 *0.01</f>
        <v>1174429.9219560002</v>
      </c>
      <c r="M23" s="19"/>
      <c r="N23" s="19"/>
      <c r="O23" s="19">
        <f t="shared" si="7"/>
        <v>1174429.9219560002</v>
      </c>
    </row>
    <row r="24" spans="2:15" x14ac:dyDescent="0.3">
      <c r="B24" s="9" t="s">
        <v>71</v>
      </c>
      <c r="C24" s="19">
        <f>144000+(144000*0.3)</f>
        <v>187200</v>
      </c>
      <c r="D24" s="19"/>
      <c r="E24" s="19"/>
      <c r="F24" s="19"/>
      <c r="G24" s="19"/>
      <c r="H24" s="19"/>
      <c r="I24" s="19"/>
      <c r="J24" s="19"/>
      <c r="K24" s="19"/>
      <c r="L24" s="19"/>
      <c r="M24" s="19"/>
      <c r="N24" s="19"/>
      <c r="O24" s="19">
        <f t="shared" si="7"/>
        <v>187200</v>
      </c>
    </row>
    <row r="25" spans="2:15" x14ac:dyDescent="0.3">
      <c r="B25" s="9" t="s">
        <v>73</v>
      </c>
      <c r="C25" s="19">
        <f>35700+(35700*0.3)</f>
        <v>46410</v>
      </c>
      <c r="D25" s="19"/>
      <c r="E25" s="19"/>
      <c r="F25" s="19"/>
      <c r="G25" s="19"/>
      <c r="H25" s="19"/>
      <c r="I25" s="19"/>
      <c r="J25" s="19"/>
      <c r="K25" s="19"/>
      <c r="L25" s="19"/>
      <c r="M25" s="19"/>
      <c r="N25" s="19"/>
      <c r="O25" s="19">
        <f t="shared" si="7"/>
        <v>46410</v>
      </c>
    </row>
    <row r="26" spans="2:15" x14ac:dyDescent="0.3">
      <c r="B26" s="9" t="s">
        <v>140</v>
      </c>
      <c r="C26" s="19"/>
      <c r="D26" s="19"/>
      <c r="E26" s="19"/>
      <c r="F26" s="19"/>
      <c r="G26" s="19"/>
      <c r="H26" s="19"/>
      <c r="I26" s="19"/>
      <c r="J26" s="19"/>
      <c r="K26" s="19"/>
      <c r="L26" s="19"/>
      <c r="M26" s="19"/>
      <c r="N26" s="19">
        <v>3000000</v>
      </c>
      <c r="O26" s="19">
        <f>SUM(C26:N26)</f>
        <v>3000000</v>
      </c>
    </row>
    <row r="27" spans="2:15" x14ac:dyDescent="0.3">
      <c r="B27" s="5" t="s">
        <v>16</v>
      </c>
      <c r="C27" s="20">
        <f>SUM(C9:C25)</f>
        <v>15795916.503725</v>
      </c>
      <c r="D27" s="20">
        <f t="shared" ref="D27:N27" si="8">SUM(D9:D25)</f>
        <v>10397430.411499999</v>
      </c>
      <c r="E27" s="20">
        <f t="shared" si="8"/>
        <v>17183157.373455998</v>
      </c>
      <c r="F27" s="20">
        <f t="shared" si="8"/>
        <v>11083172.411499999</v>
      </c>
      <c r="G27" s="20">
        <f t="shared" si="8"/>
        <v>10397430.411499999</v>
      </c>
      <c r="H27" s="20">
        <f t="shared" si="8"/>
        <v>13862564.4715</v>
      </c>
      <c r="I27" s="20">
        <f t="shared" si="8"/>
        <v>19609242.787799999</v>
      </c>
      <c r="J27" s="20">
        <f t="shared" si="8"/>
        <v>10397430.411499999</v>
      </c>
      <c r="K27" s="20">
        <f t="shared" si="8"/>
        <v>13995294.411499999</v>
      </c>
      <c r="L27" s="20">
        <f t="shared" si="8"/>
        <v>22619306.715680998</v>
      </c>
      <c r="M27" s="20">
        <f t="shared" si="8"/>
        <v>10547430.411499999</v>
      </c>
      <c r="N27" s="20">
        <f t="shared" si="8"/>
        <v>26736151.547799997</v>
      </c>
      <c r="O27" s="20">
        <f>SUM(O9:O26)</f>
        <v>183902902.50488701</v>
      </c>
    </row>
    <row r="28" spans="2:15" x14ac:dyDescent="0.3">
      <c r="B28" s="1"/>
      <c r="C28" s="19"/>
      <c r="D28" s="19"/>
      <c r="E28" s="19"/>
      <c r="F28" s="19"/>
      <c r="G28" s="19"/>
      <c r="H28" s="19"/>
      <c r="I28" s="19"/>
      <c r="J28" s="19"/>
      <c r="K28" s="19"/>
      <c r="L28" s="19"/>
      <c r="M28" s="19"/>
      <c r="N28" s="19"/>
      <c r="O28" s="19"/>
    </row>
    <row r="29" spans="2:15" x14ac:dyDescent="0.3">
      <c r="B29" s="3" t="s">
        <v>20</v>
      </c>
      <c r="C29" s="19"/>
      <c r="D29" s="19"/>
      <c r="E29" s="19"/>
      <c r="F29" s="19"/>
      <c r="G29" s="19"/>
      <c r="H29" s="19"/>
      <c r="I29" s="19"/>
      <c r="J29" s="19"/>
      <c r="K29" s="19"/>
      <c r="L29" s="19"/>
      <c r="M29" s="19"/>
      <c r="N29" s="19"/>
      <c r="O29" s="19"/>
    </row>
    <row r="30" spans="2:15" x14ac:dyDescent="0.3">
      <c r="B30" s="9" t="s">
        <v>77</v>
      </c>
      <c r="C30" s="19"/>
      <c r="D30" s="19"/>
      <c r="E30" s="19"/>
      <c r="F30" s="19"/>
      <c r="G30" s="19"/>
      <c r="H30" s="19">
        <f>6762362+(6762362*0.3)</f>
        <v>8791070.5999999996</v>
      </c>
      <c r="I30" s="19"/>
      <c r="J30" s="19"/>
      <c r="K30" s="19"/>
      <c r="L30" s="19"/>
      <c r="M30" s="19"/>
      <c r="N30" s="19"/>
      <c r="O30" s="19">
        <f t="shared" ref="O30:O33" si="9">SUM(C30:N30)</f>
        <v>8791070.5999999996</v>
      </c>
    </row>
    <row r="31" spans="2:15" x14ac:dyDescent="0.3">
      <c r="B31" s="9" t="s">
        <v>79</v>
      </c>
      <c r="C31" s="19"/>
      <c r="D31" s="19"/>
      <c r="E31" s="19"/>
      <c r="F31" s="19"/>
      <c r="G31" s="19"/>
      <c r="H31" s="19"/>
      <c r="I31" s="19"/>
      <c r="J31" s="19"/>
      <c r="K31" s="19"/>
      <c r="L31" s="19">
        <f>2223817.27+(2223817.27*0.3)</f>
        <v>2890962.4509999999</v>
      </c>
      <c r="M31" s="19"/>
      <c r="N31" s="19"/>
      <c r="O31" s="19">
        <f t="shared" si="9"/>
        <v>2890962.4509999999</v>
      </c>
    </row>
    <row r="32" spans="2:15" x14ac:dyDescent="0.3">
      <c r="B32" s="9" t="s">
        <v>81</v>
      </c>
      <c r="C32" s="19"/>
      <c r="D32" s="19"/>
      <c r="E32" s="19"/>
      <c r="F32" s="19"/>
      <c r="G32" s="19">
        <f>271823*1.3</f>
        <v>353369.9</v>
      </c>
      <c r="H32" s="19"/>
      <c r="I32" s="19"/>
      <c r="J32" s="19"/>
      <c r="K32" s="19"/>
      <c r="L32" s="19"/>
      <c r="M32" s="19"/>
      <c r="N32" s="19"/>
      <c r="O32" s="19">
        <f t="shared" si="9"/>
        <v>353369.9</v>
      </c>
    </row>
    <row r="33" spans="2:15" x14ac:dyDescent="0.3">
      <c r="B33" s="9" t="s">
        <v>83</v>
      </c>
      <c r="C33" s="19"/>
      <c r="D33" s="19">
        <f>110000*1.3</f>
        <v>143000</v>
      </c>
      <c r="E33" s="19"/>
      <c r="F33" s="19"/>
      <c r="G33" s="19"/>
      <c r="H33" s="19"/>
      <c r="I33" s="19"/>
      <c r="J33" s="19"/>
      <c r="K33" s="19"/>
      <c r="L33" s="19"/>
      <c r="M33" s="19"/>
      <c r="N33" s="19">
        <f>351000*1.3</f>
        <v>456300</v>
      </c>
      <c r="O33" s="19">
        <f t="shared" si="9"/>
        <v>599300</v>
      </c>
    </row>
    <row r="34" spans="2:15" x14ac:dyDescent="0.3">
      <c r="B34" s="5" t="s">
        <v>16</v>
      </c>
      <c r="C34" s="20">
        <f>SUM(C30:C33)</f>
        <v>0</v>
      </c>
      <c r="D34" s="20">
        <f t="shared" ref="D34:O34" si="10">SUM(D30:D33)</f>
        <v>143000</v>
      </c>
      <c r="E34" s="20">
        <f t="shared" si="10"/>
        <v>0</v>
      </c>
      <c r="F34" s="20">
        <f t="shared" si="10"/>
        <v>0</v>
      </c>
      <c r="G34" s="20">
        <f t="shared" si="10"/>
        <v>353369.9</v>
      </c>
      <c r="H34" s="20">
        <f t="shared" si="10"/>
        <v>8791070.5999999996</v>
      </c>
      <c r="I34" s="20">
        <f t="shared" si="10"/>
        <v>0</v>
      </c>
      <c r="J34" s="20">
        <f t="shared" si="10"/>
        <v>0</v>
      </c>
      <c r="K34" s="20">
        <f t="shared" si="10"/>
        <v>0</v>
      </c>
      <c r="L34" s="20">
        <f t="shared" si="10"/>
        <v>2890962.4509999999</v>
      </c>
      <c r="M34" s="20">
        <f t="shared" si="10"/>
        <v>0</v>
      </c>
      <c r="N34" s="20">
        <f t="shared" si="10"/>
        <v>456300</v>
      </c>
      <c r="O34" s="20">
        <f t="shared" si="10"/>
        <v>12634702.950999999</v>
      </c>
    </row>
    <row r="35" spans="2:15" x14ac:dyDescent="0.3">
      <c r="B35" s="1"/>
      <c r="C35" s="19"/>
      <c r="D35" s="19"/>
      <c r="E35" s="19"/>
      <c r="F35" s="19"/>
      <c r="G35" s="19"/>
      <c r="H35" s="19"/>
      <c r="I35" s="19"/>
      <c r="J35" s="19"/>
      <c r="K35" s="19"/>
      <c r="L35" s="19"/>
      <c r="M35" s="19"/>
      <c r="N35" s="19"/>
      <c r="O35" s="19"/>
    </row>
    <row r="36" spans="2:15" x14ac:dyDescent="0.3">
      <c r="B36" s="1"/>
      <c r="C36" s="19"/>
      <c r="D36" s="19"/>
      <c r="E36" s="19"/>
      <c r="F36" s="19"/>
      <c r="G36" s="19"/>
      <c r="H36" s="19"/>
      <c r="I36" s="19"/>
      <c r="J36" s="19"/>
      <c r="K36" s="19"/>
      <c r="L36" s="19"/>
      <c r="M36" s="19"/>
      <c r="N36" s="19"/>
      <c r="O36" s="19"/>
    </row>
    <row r="37" spans="2:15" x14ac:dyDescent="0.3">
      <c r="B37" s="3" t="s">
        <v>85</v>
      </c>
      <c r="C37" s="19"/>
      <c r="D37" s="19"/>
      <c r="E37" s="19"/>
      <c r="F37" s="19"/>
      <c r="G37" s="19"/>
      <c r="H37" s="19"/>
      <c r="I37" s="19"/>
      <c r="J37" s="19"/>
      <c r="K37" s="19"/>
      <c r="L37" s="19"/>
      <c r="M37" s="19"/>
      <c r="N37" s="19"/>
      <c r="O37" s="19"/>
    </row>
    <row r="38" spans="2:15" x14ac:dyDescent="0.3">
      <c r="B38" s="9" t="s">
        <v>86</v>
      </c>
      <c r="C38" s="19">
        <f>380000*1.3</f>
        <v>494000</v>
      </c>
      <c r="D38" s="19">
        <f t="shared" ref="D38:E38" si="11">380000*1.3</f>
        <v>494000</v>
      </c>
      <c r="E38" s="19">
        <f t="shared" si="11"/>
        <v>494000</v>
      </c>
      <c r="F38" s="19">
        <f>C38*1.1</f>
        <v>543400</v>
      </c>
      <c r="G38" s="19">
        <f t="shared" ref="G38:H38" si="12">D38*1.1</f>
        <v>543400</v>
      </c>
      <c r="H38" s="19">
        <f t="shared" si="12"/>
        <v>543400</v>
      </c>
      <c r="I38" s="19">
        <f>F38*1.1</f>
        <v>597740</v>
      </c>
      <c r="J38" s="19">
        <f t="shared" ref="J38:K38" si="13">G38*1.1</f>
        <v>597740</v>
      </c>
      <c r="K38" s="19">
        <f t="shared" si="13"/>
        <v>597740</v>
      </c>
      <c r="L38" s="19">
        <f>I38*1.1</f>
        <v>657514</v>
      </c>
      <c r="M38" s="19">
        <f t="shared" ref="M38:N38" si="14">J38*1.1</f>
        <v>657514</v>
      </c>
      <c r="N38" s="19">
        <f t="shared" si="14"/>
        <v>657514</v>
      </c>
      <c r="O38" s="19">
        <f>SUM(C38:N38)</f>
        <v>6877962</v>
      </c>
    </row>
    <row r="39" spans="2:15" x14ac:dyDescent="0.3">
      <c r="B39" s="9" t="s">
        <v>88</v>
      </c>
      <c r="C39" s="19">
        <f>109240*1.3</f>
        <v>142012</v>
      </c>
      <c r="D39" s="19">
        <f t="shared" ref="D39:E39" si="15">109240*1.3</f>
        <v>142012</v>
      </c>
      <c r="E39" s="19">
        <f t="shared" si="15"/>
        <v>142012</v>
      </c>
      <c r="F39" s="19">
        <v>131008</v>
      </c>
      <c r="G39" s="19">
        <v>131008</v>
      </c>
      <c r="H39" s="19">
        <v>131008</v>
      </c>
      <c r="I39" s="19">
        <v>131008</v>
      </c>
      <c r="J39" s="19">
        <v>131008</v>
      </c>
      <c r="K39" s="19">
        <v>131008</v>
      </c>
      <c r="L39" s="19">
        <v>131008</v>
      </c>
      <c r="M39" s="19">
        <v>131008</v>
      </c>
      <c r="N39" s="19">
        <v>131008</v>
      </c>
      <c r="O39" s="19">
        <f t="shared" ref="O39:O40" si="16">SUM(C39:N39)</f>
        <v>1605108</v>
      </c>
    </row>
    <row r="40" spans="2:15" x14ac:dyDescent="0.3">
      <c r="B40" s="9" t="s">
        <v>90</v>
      </c>
      <c r="C40" s="19">
        <v>200000</v>
      </c>
      <c r="D40" s="19">
        <v>200000</v>
      </c>
      <c r="E40" s="19">
        <v>200000</v>
      </c>
      <c r="F40" s="19">
        <v>200000</v>
      </c>
      <c r="G40" s="19">
        <v>200000</v>
      </c>
      <c r="H40" s="19">
        <v>200000</v>
      </c>
      <c r="I40" s="19">
        <v>200000</v>
      </c>
      <c r="J40" s="19">
        <v>200000</v>
      </c>
      <c r="K40" s="19">
        <v>200000</v>
      </c>
      <c r="L40" s="19">
        <v>200000</v>
      </c>
      <c r="M40" s="19">
        <v>200000</v>
      </c>
      <c r="N40" s="19">
        <v>200000</v>
      </c>
      <c r="O40" s="19">
        <f t="shared" si="16"/>
        <v>2400000</v>
      </c>
    </row>
    <row r="41" spans="2:15" x14ac:dyDescent="0.3">
      <c r="B41" s="5" t="s">
        <v>16</v>
      </c>
      <c r="C41" s="20">
        <f>SUM(C38:C40)</f>
        <v>836012</v>
      </c>
      <c r="D41" s="20">
        <f t="shared" ref="D41:O41" si="17">SUM(D38:D40)</f>
        <v>836012</v>
      </c>
      <c r="E41" s="20">
        <f t="shared" si="17"/>
        <v>836012</v>
      </c>
      <c r="F41" s="20">
        <f t="shared" si="17"/>
        <v>874408</v>
      </c>
      <c r="G41" s="20">
        <f t="shared" si="17"/>
        <v>874408</v>
      </c>
      <c r="H41" s="20">
        <f t="shared" si="17"/>
        <v>874408</v>
      </c>
      <c r="I41" s="20">
        <f t="shared" si="17"/>
        <v>928748</v>
      </c>
      <c r="J41" s="20">
        <f t="shared" si="17"/>
        <v>928748</v>
      </c>
      <c r="K41" s="20">
        <f t="shared" si="17"/>
        <v>928748</v>
      </c>
      <c r="L41" s="20">
        <f t="shared" si="17"/>
        <v>988522</v>
      </c>
      <c r="M41" s="20">
        <f t="shared" si="17"/>
        <v>988522</v>
      </c>
      <c r="N41" s="20">
        <f t="shared" si="17"/>
        <v>988522</v>
      </c>
      <c r="O41" s="20">
        <f t="shared" si="17"/>
        <v>10883070</v>
      </c>
    </row>
    <row r="42" spans="2:15" x14ac:dyDescent="0.3">
      <c r="B42" s="1"/>
      <c r="C42" s="19"/>
      <c r="D42" s="19"/>
      <c r="E42" s="19"/>
      <c r="F42" s="19"/>
      <c r="G42" s="19"/>
      <c r="H42" s="19"/>
      <c r="I42" s="19"/>
      <c r="J42" s="19"/>
      <c r="K42" s="19"/>
      <c r="L42" s="19"/>
      <c r="M42" s="19"/>
      <c r="N42" s="19"/>
      <c r="O42" s="19"/>
    </row>
    <row r="43" spans="2:15" x14ac:dyDescent="0.3">
      <c r="B43" s="1"/>
      <c r="C43" s="19"/>
      <c r="D43" s="19"/>
      <c r="E43" s="19"/>
      <c r="F43" s="19"/>
      <c r="G43" s="19">
        <f>SUM(F38:K38)</f>
        <v>3423420</v>
      </c>
      <c r="H43" s="19"/>
      <c r="I43" s="19"/>
      <c r="J43" s="19"/>
      <c r="K43" s="19"/>
      <c r="L43" s="19"/>
      <c r="M43" s="19"/>
      <c r="N43" s="19"/>
      <c r="O43" s="19"/>
    </row>
    <row r="44" spans="2:15" x14ac:dyDescent="0.3">
      <c r="B44" s="3" t="s">
        <v>21</v>
      </c>
      <c r="C44" s="19"/>
      <c r="D44" s="19"/>
      <c r="E44" s="19"/>
      <c r="F44" s="19"/>
      <c r="G44" s="19"/>
      <c r="H44" s="19"/>
      <c r="I44" s="19"/>
      <c r="J44" s="19"/>
      <c r="K44" s="19"/>
      <c r="L44" s="19"/>
      <c r="M44" s="19"/>
      <c r="N44" s="19"/>
      <c r="O44" s="19"/>
    </row>
    <row r="45" spans="2:15" x14ac:dyDescent="0.3">
      <c r="B45" s="9" t="s">
        <v>92</v>
      </c>
      <c r="C45" s="19">
        <f>50000*1.3</f>
        <v>65000</v>
      </c>
      <c r="D45" s="19">
        <f t="shared" ref="D45:E45" si="18">50000*1.3</f>
        <v>65000</v>
      </c>
      <c r="E45" s="19">
        <f t="shared" si="18"/>
        <v>65000</v>
      </c>
      <c r="F45" s="19">
        <f>C45*1.1</f>
        <v>71500</v>
      </c>
      <c r="G45" s="19">
        <f t="shared" ref="G45:H45" si="19">D45*1.1</f>
        <v>71500</v>
      </c>
      <c r="H45" s="19">
        <f t="shared" si="19"/>
        <v>71500</v>
      </c>
      <c r="I45" s="19">
        <f>F45*1.1</f>
        <v>78650</v>
      </c>
      <c r="J45" s="19">
        <f t="shared" ref="J45:K45" si="20">G45*1.1</f>
        <v>78650</v>
      </c>
      <c r="K45" s="19">
        <f t="shared" si="20"/>
        <v>78650</v>
      </c>
      <c r="L45" s="19">
        <v>50000</v>
      </c>
      <c r="M45" s="19">
        <v>50000</v>
      </c>
      <c r="N45" s="19">
        <v>50000</v>
      </c>
      <c r="O45" s="19">
        <f t="shared" ref="O45:O46" si="21">SUM(C45:N45)</f>
        <v>795450</v>
      </c>
    </row>
    <row r="46" spans="2:15" x14ac:dyDescent="0.3">
      <c r="B46" s="9" t="s">
        <v>94</v>
      </c>
      <c r="C46" s="19"/>
      <c r="D46" s="19">
        <f>25000*1.3</f>
        <v>32500</v>
      </c>
      <c r="E46" s="19"/>
      <c r="F46" s="19"/>
      <c r="G46" s="19"/>
      <c r="H46" s="19"/>
      <c r="I46" s="19"/>
      <c r="J46" s="19"/>
      <c r="K46" s="19"/>
      <c r="L46" s="19"/>
      <c r="M46" s="19"/>
      <c r="N46" s="19">
        <v>25000</v>
      </c>
      <c r="O46" s="19">
        <f t="shared" si="21"/>
        <v>57500</v>
      </c>
    </row>
    <row r="47" spans="2:15" x14ac:dyDescent="0.3">
      <c r="B47" s="9" t="s">
        <v>141</v>
      </c>
      <c r="C47" s="19"/>
      <c r="D47" s="19"/>
      <c r="E47" s="19">
        <f>107200*1.3</f>
        <v>139360</v>
      </c>
      <c r="F47" s="19"/>
      <c r="G47" s="19"/>
      <c r="H47" s="19">
        <v>107200</v>
      </c>
      <c r="I47" s="19"/>
      <c r="J47" s="19"/>
      <c r="K47" s="19">
        <v>107200</v>
      </c>
      <c r="L47" s="19"/>
      <c r="M47" s="19"/>
      <c r="N47" s="19">
        <v>107200</v>
      </c>
      <c r="O47" s="19">
        <f>SUM(C47:N47)</f>
        <v>460960</v>
      </c>
    </row>
    <row r="48" spans="2:15" x14ac:dyDescent="0.3">
      <c r="B48" s="5" t="s">
        <v>16</v>
      </c>
      <c r="C48" s="20">
        <f>SUM(C45:C47)</f>
        <v>65000</v>
      </c>
      <c r="D48" s="20">
        <f t="shared" ref="D48:O48" si="22">SUM(D45:D47)</f>
        <v>97500</v>
      </c>
      <c r="E48" s="20">
        <f t="shared" si="22"/>
        <v>204360</v>
      </c>
      <c r="F48" s="20">
        <f t="shared" si="22"/>
        <v>71500</v>
      </c>
      <c r="G48" s="20">
        <f t="shared" si="22"/>
        <v>71500</v>
      </c>
      <c r="H48" s="20">
        <f t="shared" si="22"/>
        <v>178700</v>
      </c>
      <c r="I48" s="20">
        <f t="shared" si="22"/>
        <v>78650</v>
      </c>
      <c r="J48" s="20">
        <f t="shared" si="22"/>
        <v>78650</v>
      </c>
      <c r="K48" s="20">
        <f t="shared" si="22"/>
        <v>185850</v>
      </c>
      <c r="L48" s="20">
        <f t="shared" si="22"/>
        <v>50000</v>
      </c>
      <c r="M48" s="20">
        <f t="shared" si="22"/>
        <v>50000</v>
      </c>
      <c r="N48" s="20">
        <f t="shared" si="22"/>
        <v>182200</v>
      </c>
      <c r="O48" s="20">
        <f t="shared" si="22"/>
        <v>1313910</v>
      </c>
    </row>
    <row r="49" spans="2:15" x14ac:dyDescent="0.3">
      <c r="B49" s="1"/>
      <c r="C49" s="19"/>
      <c r="D49" s="19"/>
      <c r="E49" s="19"/>
      <c r="F49" s="19"/>
      <c r="G49" s="19"/>
      <c r="H49" s="19"/>
      <c r="I49" s="19"/>
      <c r="J49" s="19"/>
      <c r="K49" s="19"/>
      <c r="L49" s="19"/>
      <c r="M49" s="19"/>
      <c r="N49" s="19"/>
      <c r="O49" s="19"/>
    </row>
    <row r="50" spans="2:15" x14ac:dyDescent="0.3">
      <c r="B50" s="1"/>
      <c r="C50" s="19"/>
      <c r="D50" s="19"/>
      <c r="E50" s="19"/>
      <c r="F50" s="19"/>
      <c r="G50" s="19"/>
      <c r="H50" s="19"/>
      <c r="I50" s="19"/>
      <c r="J50" s="19"/>
      <c r="K50" s="19"/>
      <c r="L50" s="19"/>
      <c r="M50" s="19"/>
      <c r="N50" s="19"/>
      <c r="O50" s="19"/>
    </row>
    <row r="51" spans="2:15" x14ac:dyDescent="0.3">
      <c r="B51" s="3" t="s">
        <v>98</v>
      </c>
      <c r="C51" s="19"/>
      <c r="D51" s="19"/>
      <c r="E51" s="19"/>
      <c r="F51" s="19"/>
      <c r="G51" s="19"/>
      <c r="H51" s="19"/>
      <c r="I51" s="19"/>
      <c r="J51" s="19"/>
      <c r="K51" s="19"/>
      <c r="L51" s="19"/>
      <c r="M51" s="19"/>
      <c r="N51" s="19"/>
      <c r="O51" s="19"/>
    </row>
    <row r="52" spans="2:15" x14ac:dyDescent="0.3">
      <c r="B52" s="9" t="s">
        <v>99</v>
      </c>
      <c r="C52" s="19"/>
      <c r="D52" s="19"/>
      <c r="E52" s="19"/>
      <c r="F52" s="19"/>
      <c r="G52" s="19">
        <f>26460000*1.3</f>
        <v>34398000</v>
      </c>
      <c r="H52" s="19"/>
      <c r="I52" s="19"/>
      <c r="J52" s="19"/>
      <c r="K52" s="19"/>
      <c r="L52" s="19"/>
      <c r="M52" s="19"/>
      <c r="N52" s="19"/>
      <c r="O52" s="19">
        <f t="shared" ref="O52:O54" si="23">SUM(C52:N52)</f>
        <v>34398000</v>
      </c>
    </row>
    <row r="53" spans="2:15" x14ac:dyDescent="0.3">
      <c r="B53" s="9" t="s">
        <v>101</v>
      </c>
      <c r="C53" s="19"/>
      <c r="D53" s="19"/>
      <c r="E53" s="19"/>
      <c r="F53" s="19"/>
      <c r="G53" s="19">
        <v>1222837.1399999999</v>
      </c>
      <c r="H53" s="19"/>
      <c r="I53" s="19"/>
      <c r="J53" s="19"/>
      <c r="K53" s="19"/>
      <c r="L53" s="19"/>
      <c r="M53" s="19"/>
      <c r="N53" s="19"/>
      <c r="O53" s="19">
        <f t="shared" si="23"/>
        <v>1222837.1399999999</v>
      </c>
    </row>
    <row r="54" spans="2:15" x14ac:dyDescent="0.3">
      <c r="B54" s="9" t="s">
        <v>103</v>
      </c>
      <c r="C54" s="19">
        <f>1293521.1*1.2</f>
        <v>1552225.32</v>
      </c>
      <c r="D54" s="19"/>
      <c r="E54" s="19"/>
      <c r="F54" s="19">
        <f>C54*1.1</f>
        <v>1707447.8520000002</v>
      </c>
      <c r="G54" s="19"/>
      <c r="H54" s="19"/>
      <c r="I54" s="19">
        <f>F54*1.1</f>
        <v>1878192.6372000005</v>
      </c>
      <c r="J54" s="19"/>
      <c r="K54" s="19"/>
      <c r="L54" s="19">
        <f>I54*1.1</f>
        <v>2066011.9009200006</v>
      </c>
      <c r="M54" s="19"/>
      <c r="N54" s="19"/>
      <c r="O54" s="19">
        <f t="shared" si="23"/>
        <v>7203877.7101200018</v>
      </c>
    </row>
    <row r="55" spans="2:15" x14ac:dyDescent="0.3">
      <c r="B55" s="5" t="s">
        <v>16</v>
      </c>
      <c r="C55" s="20">
        <f>SUM(C52:C53)</f>
        <v>0</v>
      </c>
      <c r="D55" s="20">
        <f t="shared" ref="D55:N55" si="24">SUM(D52:D53)</f>
        <v>0</v>
      </c>
      <c r="E55" s="20">
        <f t="shared" si="24"/>
        <v>0</v>
      </c>
      <c r="F55" s="20">
        <f t="shared" si="24"/>
        <v>0</v>
      </c>
      <c r="G55" s="20">
        <f t="shared" si="24"/>
        <v>35620837.140000001</v>
      </c>
      <c r="H55" s="20">
        <f t="shared" si="24"/>
        <v>0</v>
      </c>
      <c r="I55" s="20">
        <f t="shared" si="24"/>
        <v>0</v>
      </c>
      <c r="J55" s="20">
        <f t="shared" si="24"/>
        <v>0</v>
      </c>
      <c r="K55" s="20">
        <f t="shared" si="24"/>
        <v>0</v>
      </c>
      <c r="L55" s="20">
        <f t="shared" si="24"/>
        <v>0</v>
      </c>
      <c r="M55" s="20">
        <f t="shared" si="24"/>
        <v>0</v>
      </c>
      <c r="N55" s="20">
        <f t="shared" si="24"/>
        <v>0</v>
      </c>
      <c r="O55" s="20">
        <f>SUM(O52:O54)</f>
        <v>42824714.850120001</v>
      </c>
    </row>
    <row r="56" spans="2:15" x14ac:dyDescent="0.3">
      <c r="B56" s="1"/>
      <c r="C56" s="19"/>
      <c r="D56" s="19"/>
      <c r="E56" s="19"/>
      <c r="F56" s="19"/>
      <c r="G56" s="19"/>
      <c r="H56" s="19"/>
      <c r="I56" s="19"/>
      <c r="J56" s="19"/>
      <c r="K56" s="19"/>
      <c r="L56" s="19"/>
      <c r="M56" s="19"/>
      <c r="N56" s="19"/>
      <c r="O56" s="19"/>
    </row>
    <row r="57" spans="2:15" x14ac:dyDescent="0.3">
      <c r="B57" s="1"/>
      <c r="C57" s="19"/>
      <c r="D57" s="19"/>
      <c r="E57" s="19"/>
      <c r="F57" s="19"/>
      <c r="G57" s="19"/>
      <c r="H57" s="19"/>
      <c r="I57" s="19"/>
      <c r="J57" s="19"/>
      <c r="K57" s="19"/>
      <c r="L57" s="19"/>
      <c r="M57" s="19"/>
      <c r="N57" s="19"/>
      <c r="O57" s="19"/>
    </row>
    <row r="58" spans="2:15" x14ac:dyDescent="0.3">
      <c r="B58" s="3" t="s">
        <v>105</v>
      </c>
      <c r="C58" s="19"/>
      <c r="D58" s="19"/>
      <c r="E58" s="19"/>
      <c r="F58" s="19"/>
      <c r="G58" s="19"/>
      <c r="H58" s="19"/>
      <c r="I58" s="19"/>
      <c r="J58" s="19"/>
      <c r="K58" s="19"/>
      <c r="L58" s="19"/>
      <c r="M58" s="19"/>
      <c r="N58" s="19"/>
      <c r="O58" s="19"/>
    </row>
    <row r="59" spans="2:15" x14ac:dyDescent="0.3">
      <c r="B59" s="9" t="s">
        <v>106</v>
      </c>
      <c r="C59" s="21">
        <v>40000</v>
      </c>
      <c r="D59" s="19">
        <v>20000</v>
      </c>
      <c r="E59" s="19">
        <v>100000</v>
      </c>
      <c r="F59" s="19">
        <v>20000</v>
      </c>
      <c r="G59" s="19">
        <v>60000</v>
      </c>
      <c r="H59" s="19">
        <v>20000</v>
      </c>
      <c r="I59" s="19">
        <v>20000</v>
      </c>
      <c r="J59" s="19">
        <v>60000</v>
      </c>
      <c r="K59" s="19">
        <v>20000</v>
      </c>
      <c r="L59" s="19">
        <v>20000</v>
      </c>
      <c r="M59" s="19">
        <v>20000</v>
      </c>
      <c r="N59" s="19">
        <v>80000</v>
      </c>
      <c r="O59" s="19">
        <f>SUM(C59:N59)</f>
        <v>480000</v>
      </c>
    </row>
    <row r="60" spans="2:15" x14ac:dyDescent="0.3">
      <c r="B60" s="5" t="s">
        <v>16</v>
      </c>
      <c r="C60" s="20">
        <f>SUM(C58:C59)</f>
        <v>40000</v>
      </c>
      <c r="D60" s="20">
        <f t="shared" ref="D60:O60" si="25">SUM(D59:D59)</f>
        <v>20000</v>
      </c>
      <c r="E60" s="20">
        <f t="shared" si="25"/>
        <v>100000</v>
      </c>
      <c r="F60" s="20">
        <f t="shared" si="25"/>
        <v>20000</v>
      </c>
      <c r="G60" s="20">
        <f t="shared" si="25"/>
        <v>60000</v>
      </c>
      <c r="H60" s="20">
        <f t="shared" si="25"/>
        <v>20000</v>
      </c>
      <c r="I60" s="20">
        <f t="shared" si="25"/>
        <v>20000</v>
      </c>
      <c r="J60" s="20">
        <f t="shared" si="25"/>
        <v>60000</v>
      </c>
      <c r="K60" s="20">
        <f t="shared" si="25"/>
        <v>20000</v>
      </c>
      <c r="L60" s="20">
        <f t="shared" si="25"/>
        <v>20000</v>
      </c>
      <c r="M60" s="20">
        <f t="shared" si="25"/>
        <v>20000</v>
      </c>
      <c r="N60" s="20">
        <f t="shared" si="25"/>
        <v>80000</v>
      </c>
      <c r="O60" s="20">
        <f t="shared" si="25"/>
        <v>480000</v>
      </c>
    </row>
    <row r="61" spans="2:15" x14ac:dyDescent="0.3">
      <c r="B61" s="1"/>
      <c r="C61" s="19"/>
      <c r="D61" s="19"/>
      <c r="E61" s="19"/>
      <c r="F61" s="19"/>
      <c r="G61" s="19"/>
      <c r="H61" s="19"/>
      <c r="I61" s="19"/>
      <c r="J61" s="19"/>
      <c r="K61" s="19"/>
      <c r="L61" s="19"/>
      <c r="M61" s="19"/>
      <c r="N61" s="19"/>
      <c r="O61" s="19"/>
    </row>
    <row r="62" spans="2:15" x14ac:dyDescent="0.3">
      <c r="B62" s="3" t="s">
        <v>108</v>
      </c>
      <c r="C62" s="19"/>
      <c r="D62" s="19"/>
      <c r="E62" s="19"/>
      <c r="F62" s="19"/>
      <c r="G62" s="19"/>
      <c r="H62" s="19"/>
      <c r="I62" s="19"/>
      <c r="J62" s="19"/>
      <c r="K62" s="19"/>
      <c r="L62" s="19"/>
      <c r="M62" s="19"/>
      <c r="N62" s="19"/>
      <c r="O62" s="19"/>
    </row>
    <row r="63" spans="2:15" x14ac:dyDescent="0.3">
      <c r="B63" s="9" t="s">
        <v>109</v>
      </c>
      <c r="C63" s="19">
        <f>80000+ (80000*0.3)</f>
        <v>104000</v>
      </c>
      <c r="D63" s="19">
        <f t="shared" ref="D63:E64" si="26">80000+ (80000*0.3)</f>
        <v>104000</v>
      </c>
      <c r="E63" s="19">
        <f t="shared" si="26"/>
        <v>104000</v>
      </c>
      <c r="F63" s="19">
        <f>C63*1.1</f>
        <v>114400.00000000001</v>
      </c>
      <c r="G63" s="19">
        <f t="shared" ref="G63:H65" si="27">D63*1.1</f>
        <v>114400.00000000001</v>
      </c>
      <c r="H63" s="19">
        <f t="shared" si="27"/>
        <v>114400.00000000001</v>
      </c>
      <c r="I63" s="19">
        <f>F63*1.1</f>
        <v>125840.00000000003</v>
      </c>
      <c r="J63" s="19">
        <f t="shared" ref="J63:K65" si="28">G63*1.1</f>
        <v>125840.00000000003</v>
      </c>
      <c r="K63" s="19">
        <f t="shared" si="28"/>
        <v>125840.00000000003</v>
      </c>
      <c r="L63" s="19">
        <f>I63*1.1</f>
        <v>138424.00000000003</v>
      </c>
      <c r="M63" s="19">
        <f t="shared" ref="M63:N65" si="29">J63*1.1</f>
        <v>138424.00000000003</v>
      </c>
      <c r="N63" s="19">
        <f t="shared" si="29"/>
        <v>138424.00000000003</v>
      </c>
      <c r="O63" s="19">
        <f>SUM(C63:N63)</f>
        <v>1447992</v>
      </c>
    </row>
    <row r="64" spans="2:15" x14ac:dyDescent="0.3">
      <c r="B64" s="9" t="s">
        <v>111</v>
      </c>
      <c r="C64" s="19">
        <f>80000+ (80000*0.3)</f>
        <v>104000</v>
      </c>
      <c r="D64" s="19">
        <f t="shared" si="26"/>
        <v>104000</v>
      </c>
      <c r="E64" s="19">
        <f t="shared" si="26"/>
        <v>104000</v>
      </c>
      <c r="F64" s="19">
        <f>C64*1.1</f>
        <v>114400.00000000001</v>
      </c>
      <c r="G64" s="19">
        <f t="shared" si="27"/>
        <v>114400.00000000001</v>
      </c>
      <c r="H64" s="19">
        <f t="shared" si="27"/>
        <v>114400.00000000001</v>
      </c>
      <c r="I64" s="19">
        <f>F64*1.1</f>
        <v>125840.00000000003</v>
      </c>
      <c r="J64" s="19">
        <f t="shared" si="28"/>
        <v>125840.00000000003</v>
      </c>
      <c r="K64" s="19">
        <f t="shared" si="28"/>
        <v>125840.00000000003</v>
      </c>
      <c r="L64" s="19">
        <f>I64*1.1</f>
        <v>138424.00000000003</v>
      </c>
      <c r="M64" s="19">
        <f t="shared" si="29"/>
        <v>138424.00000000003</v>
      </c>
      <c r="N64" s="19">
        <f t="shared" si="29"/>
        <v>138424.00000000003</v>
      </c>
      <c r="O64" s="23">
        <f t="shared" ref="O64:O65" si="30">SUM(C64:N64)</f>
        <v>1447992</v>
      </c>
    </row>
    <row r="65" spans="2:15" x14ac:dyDescent="0.3">
      <c r="B65" s="9" t="s">
        <v>113</v>
      </c>
      <c r="C65" s="19">
        <f>60000+ (30000*0.3)</f>
        <v>69000</v>
      </c>
      <c r="D65" s="19">
        <f t="shared" ref="D65:E65" si="31">60000+ (30000*0.3)</f>
        <v>69000</v>
      </c>
      <c r="E65" s="19">
        <f t="shared" si="31"/>
        <v>69000</v>
      </c>
      <c r="F65" s="19">
        <f>C65*1.1</f>
        <v>75900</v>
      </c>
      <c r="G65" s="19">
        <f t="shared" si="27"/>
        <v>75900</v>
      </c>
      <c r="H65" s="19">
        <f t="shared" si="27"/>
        <v>75900</v>
      </c>
      <c r="I65" s="19">
        <f>F65*1.1</f>
        <v>83490</v>
      </c>
      <c r="J65" s="19">
        <f t="shared" si="28"/>
        <v>83490</v>
      </c>
      <c r="K65" s="19">
        <f t="shared" si="28"/>
        <v>83490</v>
      </c>
      <c r="L65" s="19">
        <f>I65*1.1</f>
        <v>91839.000000000015</v>
      </c>
      <c r="M65" s="19">
        <f t="shared" si="29"/>
        <v>91839.000000000015</v>
      </c>
      <c r="N65" s="19">
        <f t="shared" si="29"/>
        <v>91839.000000000015</v>
      </c>
      <c r="O65" s="19">
        <f t="shared" si="30"/>
        <v>960687</v>
      </c>
    </row>
    <row r="66" spans="2:15" x14ac:dyDescent="0.3">
      <c r="B66" s="5" t="s">
        <v>16</v>
      </c>
      <c r="C66" s="20">
        <f>SUM(C63:C65)</f>
        <v>277000</v>
      </c>
      <c r="D66" s="20">
        <f t="shared" ref="D66:O66" si="32">SUM(D63:D65)</f>
        <v>277000</v>
      </c>
      <c r="E66" s="20">
        <f t="shared" si="32"/>
        <v>277000</v>
      </c>
      <c r="F66" s="20">
        <f t="shared" si="32"/>
        <v>304700</v>
      </c>
      <c r="G66" s="20">
        <f t="shared" si="32"/>
        <v>304700</v>
      </c>
      <c r="H66" s="20">
        <f t="shared" si="32"/>
        <v>304700</v>
      </c>
      <c r="I66" s="20">
        <f t="shared" si="32"/>
        <v>335170.00000000006</v>
      </c>
      <c r="J66" s="20">
        <f t="shared" si="32"/>
        <v>335170.00000000006</v>
      </c>
      <c r="K66" s="20">
        <f t="shared" si="32"/>
        <v>335170.00000000006</v>
      </c>
      <c r="L66" s="20">
        <f t="shared" si="32"/>
        <v>368687.00000000006</v>
      </c>
      <c r="M66" s="20">
        <f t="shared" si="32"/>
        <v>368687.00000000006</v>
      </c>
      <c r="N66" s="20">
        <f t="shared" si="32"/>
        <v>368687.00000000006</v>
      </c>
      <c r="O66" s="20">
        <f t="shared" si="32"/>
        <v>3856671</v>
      </c>
    </row>
    <row r="67" spans="2:15" x14ac:dyDescent="0.3">
      <c r="B67" s="1"/>
      <c r="C67" s="19"/>
      <c r="D67" s="19"/>
      <c r="E67" s="19"/>
      <c r="F67" s="19"/>
      <c r="G67" s="19"/>
      <c r="H67" s="19"/>
      <c r="I67" s="19"/>
      <c r="J67" s="19"/>
      <c r="K67" s="19"/>
      <c r="L67" s="19"/>
      <c r="M67" s="19"/>
      <c r="N67" s="19"/>
      <c r="O67" s="19"/>
    </row>
    <row r="68" spans="2:15" x14ac:dyDescent="0.3">
      <c r="B68" s="3" t="s">
        <v>24</v>
      </c>
      <c r="C68" s="19"/>
      <c r="D68" s="19"/>
      <c r="E68" s="22"/>
      <c r="F68" s="19"/>
      <c r="G68" s="19"/>
      <c r="H68" s="19"/>
      <c r="I68" s="19"/>
      <c r="J68" s="19"/>
      <c r="K68" s="19"/>
      <c r="L68" s="19"/>
      <c r="M68" s="19"/>
      <c r="N68" s="19"/>
      <c r="O68" s="19"/>
    </row>
    <row r="69" spans="2:15" x14ac:dyDescent="0.3">
      <c r="B69" s="9" t="s">
        <v>115</v>
      </c>
      <c r="C69" s="19">
        <f>81000*4</f>
        <v>324000</v>
      </c>
      <c r="D69" s="19">
        <f t="shared" ref="D69:N69" si="33">81000*4</f>
        <v>324000</v>
      </c>
      <c r="E69" s="19">
        <f t="shared" si="33"/>
        <v>324000</v>
      </c>
      <c r="F69" s="19">
        <f t="shared" si="33"/>
        <v>324000</v>
      </c>
      <c r="G69" s="19">
        <f t="shared" si="33"/>
        <v>324000</v>
      </c>
      <c r="H69" s="19">
        <f t="shared" si="33"/>
        <v>324000</v>
      </c>
      <c r="I69" s="19">
        <f t="shared" si="33"/>
        <v>324000</v>
      </c>
      <c r="J69" s="19">
        <f t="shared" si="33"/>
        <v>324000</v>
      </c>
      <c r="K69" s="19">
        <f t="shared" si="33"/>
        <v>324000</v>
      </c>
      <c r="L69" s="19">
        <f t="shared" si="33"/>
        <v>324000</v>
      </c>
      <c r="M69" s="19">
        <f t="shared" si="33"/>
        <v>324000</v>
      </c>
      <c r="N69" s="19">
        <f t="shared" si="33"/>
        <v>324000</v>
      </c>
      <c r="O69" s="19">
        <f>SUM(C69:N69)</f>
        <v>3888000</v>
      </c>
    </row>
    <row r="70" spans="2:15" x14ac:dyDescent="0.3">
      <c r="B70" s="9" t="s">
        <v>117</v>
      </c>
      <c r="C70" s="19"/>
      <c r="D70" s="19"/>
      <c r="E70" s="19">
        <v>725000</v>
      </c>
      <c r="F70" s="19"/>
      <c r="G70" s="19"/>
      <c r="H70" s="19">
        <v>725000</v>
      </c>
      <c r="I70" s="19"/>
      <c r="J70" s="19"/>
      <c r="K70" s="19">
        <v>725000</v>
      </c>
      <c r="L70" s="19"/>
      <c r="M70" s="19"/>
      <c r="N70" s="19"/>
      <c r="O70" s="19">
        <f t="shared" ref="O70" si="34">SUM(C70:N70)</f>
        <v>2175000</v>
      </c>
    </row>
    <row r="71" spans="2:15" x14ac:dyDescent="0.3">
      <c r="B71" s="5" t="s">
        <v>16</v>
      </c>
      <c r="C71" s="20">
        <f t="shared" ref="C71:O71" si="35">SUM(C69:C70)</f>
        <v>324000</v>
      </c>
      <c r="D71" s="20">
        <f t="shared" si="35"/>
        <v>324000</v>
      </c>
      <c r="E71" s="20">
        <f t="shared" si="35"/>
        <v>1049000</v>
      </c>
      <c r="F71" s="20">
        <f t="shared" si="35"/>
        <v>324000</v>
      </c>
      <c r="G71" s="20">
        <f t="shared" si="35"/>
        <v>324000</v>
      </c>
      <c r="H71" s="20">
        <f t="shared" si="35"/>
        <v>1049000</v>
      </c>
      <c r="I71" s="20">
        <f t="shared" si="35"/>
        <v>324000</v>
      </c>
      <c r="J71" s="20">
        <f t="shared" si="35"/>
        <v>324000</v>
      </c>
      <c r="K71" s="20">
        <f t="shared" si="35"/>
        <v>1049000</v>
      </c>
      <c r="L71" s="20">
        <f t="shared" si="35"/>
        <v>324000</v>
      </c>
      <c r="M71" s="20">
        <f t="shared" si="35"/>
        <v>324000</v>
      </c>
      <c r="N71" s="20">
        <f t="shared" si="35"/>
        <v>324000</v>
      </c>
      <c r="O71" s="20">
        <f t="shared" si="35"/>
        <v>6063000</v>
      </c>
    </row>
    <row r="72" spans="2:15" x14ac:dyDescent="0.3">
      <c r="B72" s="1"/>
      <c r="C72" s="19"/>
      <c r="D72" s="19"/>
      <c r="E72" s="19"/>
      <c r="F72" s="19"/>
      <c r="G72" s="19"/>
      <c r="H72" s="19"/>
      <c r="I72" s="19"/>
      <c r="J72" s="19"/>
      <c r="K72" s="19"/>
      <c r="L72" s="19"/>
      <c r="M72" s="19"/>
      <c r="N72" s="19"/>
      <c r="O72" s="19"/>
    </row>
    <row r="73" spans="2:15" x14ac:dyDescent="0.3">
      <c r="B73" s="3" t="s">
        <v>119</v>
      </c>
      <c r="C73" s="19"/>
      <c r="D73" s="19"/>
      <c r="E73" s="19"/>
      <c r="F73" s="19"/>
      <c r="G73" s="19"/>
      <c r="H73" s="19"/>
      <c r="I73" s="19"/>
      <c r="J73" s="19"/>
      <c r="K73" s="19"/>
      <c r="L73" s="19"/>
      <c r="M73" s="19"/>
      <c r="N73" s="19"/>
      <c r="O73" s="19"/>
    </row>
    <row r="74" spans="2:15" x14ac:dyDescent="0.3">
      <c r="B74" s="9" t="s">
        <v>120</v>
      </c>
      <c r="C74" s="19"/>
      <c r="D74" s="19">
        <f>40000+(40000*0.3)</f>
        <v>52000</v>
      </c>
      <c r="E74" s="19"/>
      <c r="F74" s="19">
        <f>D74*1.1</f>
        <v>57200.000000000007</v>
      </c>
      <c r="G74" s="19"/>
      <c r="H74" s="19">
        <f>F74*1.1</f>
        <v>62920.000000000015</v>
      </c>
      <c r="I74" s="19"/>
      <c r="J74" s="19">
        <f>H74*1.1</f>
        <v>69212.000000000015</v>
      </c>
      <c r="K74" s="19"/>
      <c r="L74" s="19">
        <f>J74*1.1</f>
        <v>76133.200000000026</v>
      </c>
      <c r="M74" s="19"/>
      <c r="N74" s="19">
        <f>L74*1.1</f>
        <v>83746.520000000033</v>
      </c>
      <c r="O74" s="19">
        <f>SUM(C74:N74)</f>
        <v>401211.72000000003</v>
      </c>
    </row>
    <row r="75" spans="2:15" x14ac:dyDescent="0.3">
      <c r="B75" s="9" t="s">
        <v>142</v>
      </c>
      <c r="C75" s="19">
        <f>62500+35000</f>
        <v>97500</v>
      </c>
      <c r="D75" s="19"/>
      <c r="E75" s="19">
        <f>170000+120000</f>
        <v>290000</v>
      </c>
      <c r="F75" s="19"/>
      <c r="G75" s="19"/>
      <c r="H75" s="19"/>
      <c r="I75" s="19">
        <v>75000</v>
      </c>
      <c r="J75" s="19"/>
      <c r="K75" s="19"/>
      <c r="L75" s="19"/>
      <c r="M75" s="19"/>
      <c r="N75" s="19"/>
      <c r="O75" s="19">
        <f>SUM(C75:N75)</f>
        <v>462500</v>
      </c>
    </row>
    <row r="76" spans="2:15" x14ac:dyDescent="0.3">
      <c r="B76" s="9" t="s">
        <v>124</v>
      </c>
      <c r="C76" s="19">
        <f>312000+(312000*0.3)</f>
        <v>405600</v>
      </c>
      <c r="D76" s="19">
        <f t="shared" ref="D76:E76" si="36">312000+(312000*0.3)</f>
        <v>405600</v>
      </c>
      <c r="E76" s="19">
        <f t="shared" si="36"/>
        <v>405600</v>
      </c>
      <c r="F76" s="19">
        <f>C76*1.1</f>
        <v>446160.00000000006</v>
      </c>
      <c r="G76" s="19">
        <f t="shared" ref="G76:H76" si="37">D76*1.1</f>
        <v>446160.00000000006</v>
      </c>
      <c r="H76" s="19">
        <f t="shared" si="37"/>
        <v>446160.00000000006</v>
      </c>
      <c r="I76" s="19">
        <f>F76*1.1</f>
        <v>490776.00000000012</v>
      </c>
      <c r="J76" s="19">
        <f t="shared" ref="J76:K76" si="38">G76*1.1</f>
        <v>490776.00000000012</v>
      </c>
      <c r="K76" s="19">
        <f t="shared" si="38"/>
        <v>490776.00000000012</v>
      </c>
      <c r="L76" s="19">
        <f>I76*1.1</f>
        <v>539853.60000000021</v>
      </c>
      <c r="M76" s="19">
        <f t="shared" ref="M76:N76" si="39">J76*1.1</f>
        <v>539853.60000000021</v>
      </c>
      <c r="N76" s="19">
        <f t="shared" si="39"/>
        <v>539853.60000000021</v>
      </c>
      <c r="O76" s="19">
        <f>SUM(C76:N76)</f>
        <v>5647168.8000000017</v>
      </c>
    </row>
    <row r="77" spans="2:15" x14ac:dyDescent="0.3">
      <c r="B77" s="5" t="s">
        <v>16</v>
      </c>
      <c r="C77" s="20">
        <f t="shared" ref="C77:O77" si="40">SUM(C74:C76)</f>
        <v>503100</v>
      </c>
      <c r="D77" s="20">
        <f t="shared" si="40"/>
        <v>457600</v>
      </c>
      <c r="E77" s="20">
        <f t="shared" si="40"/>
        <v>695600</v>
      </c>
      <c r="F77" s="20">
        <f>SUM(F74:F76)</f>
        <v>503360.00000000006</v>
      </c>
      <c r="G77" s="20">
        <f t="shared" si="40"/>
        <v>446160.00000000006</v>
      </c>
      <c r="H77" s="20">
        <f t="shared" si="40"/>
        <v>509080.00000000006</v>
      </c>
      <c r="I77" s="20">
        <f t="shared" si="40"/>
        <v>565776.00000000012</v>
      </c>
      <c r="J77" s="20">
        <f t="shared" si="40"/>
        <v>559988.00000000012</v>
      </c>
      <c r="K77" s="20">
        <f t="shared" si="40"/>
        <v>490776.00000000012</v>
      </c>
      <c r="L77" s="20">
        <f t="shared" si="40"/>
        <v>615986.80000000028</v>
      </c>
      <c r="M77" s="20">
        <f t="shared" si="40"/>
        <v>539853.60000000021</v>
      </c>
      <c r="N77" s="20">
        <f t="shared" si="40"/>
        <v>623600.12000000023</v>
      </c>
      <c r="O77" s="20">
        <f t="shared" si="40"/>
        <v>6510880.5200000014</v>
      </c>
    </row>
    <row r="78" spans="2:15" x14ac:dyDescent="0.3">
      <c r="B78" s="1"/>
      <c r="C78" s="19"/>
      <c r="D78" s="19"/>
      <c r="E78" s="19"/>
      <c r="F78" s="19"/>
      <c r="G78" s="19"/>
      <c r="H78" s="19"/>
      <c r="I78" s="19"/>
      <c r="J78" s="19"/>
      <c r="K78" s="19"/>
      <c r="L78" s="19"/>
      <c r="M78" s="19"/>
      <c r="N78" s="19"/>
      <c r="O78" s="19"/>
    </row>
    <row r="79" spans="2:15" x14ac:dyDescent="0.3">
      <c r="B79" s="3" t="s">
        <v>126</v>
      </c>
      <c r="C79" s="19"/>
      <c r="D79" s="19"/>
      <c r="E79" s="19"/>
      <c r="F79" s="19"/>
      <c r="G79" s="19"/>
      <c r="H79" s="19"/>
      <c r="I79" s="19"/>
      <c r="J79" s="19"/>
      <c r="K79" s="19"/>
      <c r="L79" s="19"/>
      <c r="M79" s="19"/>
      <c r="N79" s="19"/>
      <c r="O79" s="19"/>
    </row>
    <row r="80" spans="2:15" x14ac:dyDescent="0.3">
      <c r="B80" s="9" t="s">
        <v>127</v>
      </c>
      <c r="C80" s="19"/>
      <c r="D80" s="19"/>
      <c r="E80" s="19"/>
      <c r="F80" s="19"/>
      <c r="G80" s="19"/>
      <c r="H80" s="19">
        <v>5000000</v>
      </c>
      <c r="I80" s="19"/>
      <c r="J80" s="19"/>
      <c r="K80" s="19"/>
      <c r="L80" s="19"/>
      <c r="M80" s="19"/>
      <c r="N80" s="19"/>
      <c r="O80" s="19">
        <f t="shared" ref="O80" si="41">SUM(C80:N80)</f>
        <v>5000000</v>
      </c>
    </row>
    <row r="81" spans="2:15" x14ac:dyDescent="0.3">
      <c r="B81" s="5" t="s">
        <v>16</v>
      </c>
      <c r="C81" s="20">
        <f t="shared" ref="C81:O81" si="42">SUM(C80:C80)</f>
        <v>0</v>
      </c>
      <c r="D81" s="20">
        <f t="shared" si="42"/>
        <v>0</v>
      </c>
      <c r="E81" s="20">
        <f t="shared" si="42"/>
        <v>0</v>
      </c>
      <c r="F81" s="20">
        <f t="shared" si="42"/>
        <v>0</v>
      </c>
      <c r="G81" s="20">
        <f t="shared" si="42"/>
        <v>0</v>
      </c>
      <c r="H81" s="20">
        <f t="shared" si="42"/>
        <v>5000000</v>
      </c>
      <c r="I81" s="20">
        <f t="shared" si="42"/>
        <v>0</v>
      </c>
      <c r="J81" s="20">
        <f t="shared" si="42"/>
        <v>0</v>
      </c>
      <c r="K81" s="20">
        <f t="shared" si="42"/>
        <v>0</v>
      </c>
      <c r="L81" s="20">
        <f t="shared" si="42"/>
        <v>0</v>
      </c>
      <c r="M81" s="20">
        <f t="shared" si="42"/>
        <v>0</v>
      </c>
      <c r="N81" s="20">
        <f t="shared" si="42"/>
        <v>0</v>
      </c>
      <c r="O81" s="20">
        <f t="shared" si="42"/>
        <v>5000000</v>
      </c>
    </row>
    <row r="82" spans="2:15" x14ac:dyDescent="0.3">
      <c r="B82" s="1"/>
      <c r="C82" s="19"/>
      <c r="D82" s="19"/>
      <c r="E82" s="19"/>
      <c r="F82" s="19"/>
      <c r="G82" s="19"/>
      <c r="H82" s="19"/>
      <c r="I82" s="19"/>
      <c r="J82" s="19"/>
      <c r="K82" s="19"/>
      <c r="L82" s="19"/>
      <c r="M82" s="19"/>
      <c r="N82" s="19"/>
      <c r="O82" s="19"/>
    </row>
    <row r="83" spans="2:15" x14ac:dyDescent="0.3">
      <c r="B83" s="3" t="s">
        <v>129</v>
      </c>
      <c r="C83" s="19"/>
      <c r="D83" s="19"/>
      <c r="E83" s="19"/>
      <c r="F83" s="19"/>
      <c r="G83" s="19"/>
      <c r="H83" s="19"/>
      <c r="I83" s="19"/>
      <c r="J83" s="19"/>
      <c r="K83" s="19"/>
      <c r="L83" s="19"/>
      <c r="M83" s="19"/>
      <c r="N83" s="19"/>
      <c r="O83" s="19"/>
    </row>
    <row r="84" spans="2:15" x14ac:dyDescent="0.3">
      <c r="B84" s="9" t="s">
        <v>130</v>
      </c>
      <c r="C84" s="19"/>
      <c r="D84" s="19"/>
      <c r="E84" s="19"/>
      <c r="F84" s="19"/>
      <c r="G84" s="19"/>
      <c r="H84" s="19"/>
      <c r="I84" s="19"/>
      <c r="J84" s="19"/>
      <c r="K84" s="19"/>
      <c r="L84" s="19"/>
      <c r="M84" s="19"/>
      <c r="N84" s="19">
        <f>5000000*1.5</f>
        <v>7500000</v>
      </c>
      <c r="O84" s="19">
        <f t="shared" ref="O84" si="43">SUM(C84:N84)</f>
        <v>7500000</v>
      </c>
    </row>
    <row r="85" spans="2:15" x14ac:dyDescent="0.3">
      <c r="B85" s="5" t="s">
        <v>16</v>
      </c>
      <c r="C85" s="20">
        <f t="shared" ref="C85:O85" si="44">SUM(C84:C84)</f>
        <v>0</v>
      </c>
      <c r="D85" s="20">
        <f t="shared" si="44"/>
        <v>0</v>
      </c>
      <c r="E85" s="20">
        <f t="shared" si="44"/>
        <v>0</v>
      </c>
      <c r="F85" s="20">
        <f t="shared" si="44"/>
        <v>0</v>
      </c>
      <c r="G85" s="20">
        <f t="shared" si="44"/>
        <v>0</v>
      </c>
      <c r="H85" s="20">
        <f t="shared" si="44"/>
        <v>0</v>
      </c>
      <c r="I85" s="20">
        <f t="shared" si="44"/>
        <v>0</v>
      </c>
      <c r="J85" s="20">
        <f t="shared" si="44"/>
        <v>0</v>
      </c>
      <c r="K85" s="20">
        <f t="shared" si="44"/>
        <v>0</v>
      </c>
      <c r="L85" s="20">
        <f t="shared" si="44"/>
        <v>0</v>
      </c>
      <c r="M85" s="20">
        <f t="shared" si="44"/>
        <v>0</v>
      </c>
      <c r="N85" s="20">
        <f>5000000*1.5</f>
        <v>7500000</v>
      </c>
      <c r="O85" s="20">
        <f t="shared" si="44"/>
        <v>7500000</v>
      </c>
    </row>
    <row r="86" spans="2:15" x14ac:dyDescent="0.3">
      <c r="B86" s="1"/>
      <c r="C86" s="19"/>
      <c r="D86" s="19"/>
      <c r="E86" s="19"/>
      <c r="F86" s="19"/>
      <c r="G86" s="19"/>
      <c r="H86" s="19"/>
      <c r="I86" s="19"/>
      <c r="J86" s="19"/>
      <c r="K86" s="19"/>
      <c r="L86" s="19"/>
      <c r="M86" s="19"/>
      <c r="N86" s="19"/>
      <c r="O86" s="19">
        <f>SUM(C86:N86)</f>
        <v>0</v>
      </c>
    </row>
    <row r="87" spans="2:15" x14ac:dyDescent="0.3">
      <c r="B87" s="9" t="s">
        <v>132</v>
      </c>
      <c r="C87" s="19">
        <v>300000</v>
      </c>
      <c r="D87" s="19"/>
      <c r="E87" s="19"/>
      <c r="F87" s="19"/>
      <c r="G87" s="19"/>
      <c r="H87" s="19"/>
      <c r="I87" s="19"/>
      <c r="J87" s="19"/>
      <c r="K87" s="19"/>
      <c r="L87" s="19"/>
      <c r="M87" s="19"/>
      <c r="N87" s="19">
        <f>C87*1.3</f>
        <v>390000</v>
      </c>
      <c r="O87" s="19"/>
    </row>
    <row r="88" spans="2:15" x14ac:dyDescent="0.3">
      <c r="B88" s="1"/>
      <c r="C88" s="19"/>
      <c r="D88" s="19"/>
      <c r="E88" s="19"/>
      <c r="F88" s="19"/>
      <c r="G88" s="19"/>
      <c r="H88" s="19"/>
      <c r="I88" s="19"/>
      <c r="J88" s="19"/>
      <c r="K88" s="19"/>
      <c r="L88" s="19"/>
      <c r="M88" s="19"/>
      <c r="N88" s="19"/>
      <c r="O88" s="19"/>
    </row>
    <row r="89" spans="2:15" x14ac:dyDescent="0.3">
      <c r="B89" s="3" t="s">
        <v>134</v>
      </c>
      <c r="C89" s="19"/>
      <c r="D89" s="19"/>
      <c r="E89" s="19"/>
      <c r="F89" s="19"/>
      <c r="G89" s="19"/>
      <c r="H89" s="19"/>
      <c r="I89" s="19"/>
      <c r="J89" s="19"/>
      <c r="K89" s="19"/>
      <c r="L89" s="19"/>
      <c r="M89" s="19"/>
      <c r="N89" s="19"/>
      <c r="O89" s="19">
        <f t="shared" ref="O89:O93" si="45">SUM(C89:N89)</f>
        <v>0</v>
      </c>
    </row>
    <row r="90" spans="2:15" x14ac:dyDescent="0.3">
      <c r="B90" s="9" t="s">
        <v>135</v>
      </c>
      <c r="C90" s="19">
        <v>650000</v>
      </c>
      <c r="D90" s="19">
        <v>650000</v>
      </c>
      <c r="E90" s="19">
        <v>650000</v>
      </c>
      <c r="F90" s="19">
        <f>C90*1.1</f>
        <v>715000</v>
      </c>
      <c r="G90" s="19">
        <f t="shared" ref="G90:H91" si="46">D90*1.1</f>
        <v>715000</v>
      </c>
      <c r="H90" s="19">
        <f t="shared" si="46"/>
        <v>715000</v>
      </c>
      <c r="I90" s="19">
        <f>F90*1.1</f>
        <v>786500.00000000012</v>
      </c>
      <c r="J90" s="19">
        <f t="shared" ref="J90:K91" si="47">G90*1.1</f>
        <v>786500.00000000012</v>
      </c>
      <c r="K90" s="19">
        <f t="shared" si="47"/>
        <v>786500.00000000012</v>
      </c>
      <c r="L90" s="19">
        <f>I90*1.1</f>
        <v>865150.00000000023</v>
      </c>
      <c r="M90" s="19">
        <v>650000</v>
      </c>
      <c r="N90" s="19">
        <v>650000</v>
      </c>
      <c r="O90" s="19">
        <f t="shared" si="45"/>
        <v>8619650</v>
      </c>
    </row>
    <row r="91" spans="2:15" x14ac:dyDescent="0.3">
      <c r="B91" s="9" t="s">
        <v>137</v>
      </c>
      <c r="C91" s="19">
        <f>62500/0.3</f>
        <v>208333.33333333334</v>
      </c>
      <c r="D91" s="19">
        <f t="shared" ref="D91:E91" si="48">62500/0.3</f>
        <v>208333.33333333334</v>
      </c>
      <c r="E91" s="19">
        <f t="shared" si="48"/>
        <v>208333.33333333334</v>
      </c>
      <c r="F91" s="19">
        <f>C91*1.1</f>
        <v>229166.66666666669</v>
      </c>
      <c r="G91" s="19">
        <f t="shared" si="46"/>
        <v>229166.66666666669</v>
      </c>
      <c r="H91" s="19">
        <f t="shared" si="46"/>
        <v>229166.66666666669</v>
      </c>
      <c r="I91" s="19">
        <f>F91*1.1</f>
        <v>252083.33333333337</v>
      </c>
      <c r="J91" s="19">
        <f t="shared" si="47"/>
        <v>252083.33333333337</v>
      </c>
      <c r="K91" s="19">
        <f t="shared" si="47"/>
        <v>252083.33333333337</v>
      </c>
      <c r="L91" s="19">
        <f>I91*1.1</f>
        <v>277291.66666666674</v>
      </c>
      <c r="M91" s="19">
        <f t="shared" ref="M91:N91" si="49">J91*1.1</f>
        <v>277291.66666666674</v>
      </c>
      <c r="N91" s="19">
        <f t="shared" si="49"/>
        <v>277291.66666666674</v>
      </c>
      <c r="O91" s="19">
        <f t="shared" si="45"/>
        <v>2900625.0000000009</v>
      </c>
    </row>
    <row r="92" spans="2:15" x14ac:dyDescent="0.3">
      <c r="B92" s="9" t="s">
        <v>138</v>
      </c>
      <c r="C92" s="19">
        <f>25000/0.3</f>
        <v>83333.333333333343</v>
      </c>
      <c r="D92" s="19">
        <f t="shared" ref="D92:N92" si="50">25000/0.3</f>
        <v>83333.333333333343</v>
      </c>
      <c r="E92" s="19">
        <f t="shared" si="50"/>
        <v>83333.333333333343</v>
      </c>
      <c r="F92" s="19">
        <f t="shared" si="50"/>
        <v>83333.333333333343</v>
      </c>
      <c r="G92" s="19">
        <f t="shared" si="50"/>
        <v>83333.333333333343</v>
      </c>
      <c r="H92" s="19">
        <f t="shared" si="50"/>
        <v>83333.333333333343</v>
      </c>
      <c r="I92" s="19">
        <f t="shared" si="50"/>
        <v>83333.333333333343</v>
      </c>
      <c r="J92" s="19">
        <f t="shared" si="50"/>
        <v>83333.333333333343</v>
      </c>
      <c r="K92" s="19">
        <f t="shared" si="50"/>
        <v>83333.333333333343</v>
      </c>
      <c r="L92" s="19">
        <f t="shared" si="50"/>
        <v>83333.333333333343</v>
      </c>
      <c r="M92" s="19">
        <f t="shared" si="50"/>
        <v>83333.333333333343</v>
      </c>
      <c r="N92" s="19">
        <f t="shared" si="50"/>
        <v>83333.333333333343</v>
      </c>
      <c r="O92" s="19">
        <f t="shared" si="45"/>
        <v>1000000.0000000003</v>
      </c>
    </row>
    <row r="93" spans="2:15" x14ac:dyDescent="0.3">
      <c r="B93" s="9" t="s">
        <v>139</v>
      </c>
      <c r="C93" s="19">
        <f>30000/0.3</f>
        <v>100000</v>
      </c>
      <c r="D93" s="19">
        <f t="shared" ref="D93:N93" si="51">30000/0.3</f>
        <v>100000</v>
      </c>
      <c r="E93" s="19">
        <f t="shared" si="51"/>
        <v>100000</v>
      </c>
      <c r="F93" s="19">
        <f t="shared" si="51"/>
        <v>100000</v>
      </c>
      <c r="G93" s="19">
        <f t="shared" si="51"/>
        <v>100000</v>
      </c>
      <c r="H93" s="19">
        <f t="shared" si="51"/>
        <v>100000</v>
      </c>
      <c r="I93" s="19">
        <f t="shared" si="51"/>
        <v>100000</v>
      </c>
      <c r="J93" s="19">
        <f t="shared" si="51"/>
        <v>100000</v>
      </c>
      <c r="K93" s="19">
        <f t="shared" si="51"/>
        <v>100000</v>
      </c>
      <c r="L93" s="19">
        <f t="shared" si="51"/>
        <v>100000</v>
      </c>
      <c r="M93" s="19">
        <f t="shared" si="51"/>
        <v>100000</v>
      </c>
      <c r="N93" s="19">
        <f t="shared" si="51"/>
        <v>100000</v>
      </c>
      <c r="O93" s="19">
        <f t="shared" si="45"/>
        <v>1200000</v>
      </c>
    </row>
    <row r="94" spans="2:15" x14ac:dyDescent="0.3">
      <c r="B94" s="5" t="s">
        <v>16</v>
      </c>
      <c r="C94" s="20">
        <f>SUM(C90:C93)</f>
        <v>1041666.6666666667</v>
      </c>
      <c r="D94" s="20">
        <f t="shared" ref="D94:N94" si="52">SUM(D90:D93)</f>
        <v>1041666.6666666667</v>
      </c>
      <c r="E94" s="20">
        <f t="shared" si="52"/>
        <v>1041666.6666666667</v>
      </c>
      <c r="F94" s="20">
        <f t="shared" si="52"/>
        <v>1127500</v>
      </c>
      <c r="G94" s="20">
        <f t="shared" si="52"/>
        <v>1127500</v>
      </c>
      <c r="H94" s="20">
        <f t="shared" si="52"/>
        <v>1127500</v>
      </c>
      <c r="I94" s="20">
        <f t="shared" si="52"/>
        <v>1221916.6666666667</v>
      </c>
      <c r="J94" s="20">
        <f t="shared" si="52"/>
        <v>1221916.6666666667</v>
      </c>
      <c r="K94" s="20">
        <f t="shared" si="52"/>
        <v>1221916.6666666667</v>
      </c>
      <c r="L94" s="20">
        <f t="shared" si="52"/>
        <v>1325775.0000000002</v>
      </c>
      <c r="M94" s="20">
        <f t="shared" si="52"/>
        <v>1110625</v>
      </c>
      <c r="N94" s="20">
        <f t="shared" si="52"/>
        <v>1110625</v>
      </c>
      <c r="O94"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25"/>
  <sheetViews>
    <sheetView showGridLines="0" zoomScale="98" zoomScaleNormal="98" workbookViewId="0">
      <pane xSplit="7" ySplit="3" topLeftCell="M4" activePane="bottomRight" state="frozen"/>
      <selection pane="topRight" activeCell="C1" sqref="C1"/>
      <selection pane="bottomLeft" activeCell="A5" sqref="A5"/>
      <selection pane="bottomRight" activeCell="Q19" sqref="Q19"/>
    </sheetView>
  </sheetViews>
  <sheetFormatPr defaultRowHeight="14.4" x14ac:dyDescent="0.3"/>
  <cols>
    <col min="1" max="1" width="8.109375" customWidth="1"/>
    <col min="2" max="2" width="25.33203125" customWidth="1"/>
    <col min="3" max="3" width="14.6640625" customWidth="1"/>
    <col min="4" max="4" width="18.44140625" customWidth="1"/>
    <col min="5" max="5" width="24" customWidth="1"/>
    <col min="6" max="8" width="13.33203125" customWidth="1"/>
    <col min="9" max="11" width="13.33203125" bestFit="1" customWidth="1"/>
    <col min="12" max="12" width="16.109375" customWidth="1"/>
    <col min="13" max="13" width="13.33203125" bestFit="1" customWidth="1"/>
    <col min="14" max="14" width="27.33203125" customWidth="1"/>
    <col min="15" max="15" width="14.33203125" bestFit="1" customWidth="1"/>
    <col min="17" max="17" width="9.109375" customWidth="1"/>
  </cols>
  <sheetData>
    <row r="1" spans="2:15" x14ac:dyDescent="0.3">
      <c r="B1" t="s">
        <v>0</v>
      </c>
    </row>
    <row r="2" spans="2:15" ht="28.5" customHeight="1" x14ac:dyDescent="0.3">
      <c r="B2" s="51" t="s">
        <v>1</v>
      </c>
      <c r="C2" s="52"/>
      <c r="D2" s="52"/>
      <c r="E2" s="52"/>
      <c r="F2" s="52"/>
      <c r="G2" s="52"/>
      <c r="H2" s="52"/>
      <c r="I2" s="52"/>
      <c r="J2" s="52"/>
      <c r="K2" s="52"/>
      <c r="L2" s="52"/>
      <c r="M2" s="52"/>
      <c r="N2" s="52"/>
      <c r="O2" s="53"/>
    </row>
    <row r="3" spans="2:15" ht="12" customHeight="1" x14ac:dyDescent="0.3">
      <c r="B3" s="54" t="s">
        <v>2</v>
      </c>
      <c r="C3" s="54"/>
      <c r="D3" s="54"/>
      <c r="E3" s="54"/>
      <c r="F3" s="54"/>
      <c r="G3" s="54"/>
      <c r="H3" s="54"/>
      <c r="I3" s="54"/>
      <c r="J3" s="54"/>
      <c r="K3" s="54"/>
      <c r="L3" s="54"/>
      <c r="M3" s="54"/>
      <c r="N3" s="54"/>
      <c r="O3" s="54"/>
    </row>
    <row r="4" spans="2:15" x14ac:dyDescent="0.3">
      <c r="B4" s="4" t="s">
        <v>3</v>
      </c>
      <c r="C4" s="4" t="s">
        <v>4</v>
      </c>
      <c r="D4" s="4" t="s">
        <v>5</v>
      </c>
      <c r="E4" s="4" t="s">
        <v>6</v>
      </c>
      <c r="F4" s="4" t="s">
        <v>7</v>
      </c>
      <c r="G4" s="4" t="s">
        <v>8</v>
      </c>
      <c r="H4" s="4" t="s">
        <v>9</v>
      </c>
      <c r="I4" s="4" t="s">
        <v>10</v>
      </c>
      <c r="J4" s="4" t="s">
        <v>11</v>
      </c>
      <c r="K4" s="4" t="s">
        <v>12</v>
      </c>
      <c r="L4" s="4" t="s">
        <v>13</v>
      </c>
      <c r="M4" s="4" t="s">
        <v>14</v>
      </c>
      <c r="N4" s="4" t="s">
        <v>15</v>
      </c>
      <c r="O4" s="4" t="s">
        <v>16</v>
      </c>
    </row>
    <row r="5" spans="2:15" ht="19.5" customHeight="1" x14ac:dyDescent="0.3">
      <c r="B5" s="3" t="s">
        <v>17</v>
      </c>
      <c r="C5" s="14">
        <f>'Input Worksheet'!C49</f>
        <v>0</v>
      </c>
      <c r="D5" s="14">
        <f>'Input Worksheet'!D49</f>
        <v>0</v>
      </c>
      <c r="E5" s="14">
        <f>'Input Worksheet'!E49</f>
        <v>34900000</v>
      </c>
      <c r="F5" s="14">
        <f>'Input Worksheet'!F49</f>
        <v>0</v>
      </c>
      <c r="G5" s="14">
        <f>'Input Worksheet'!G49</f>
        <v>0</v>
      </c>
      <c r="H5" s="14">
        <f>'Input Worksheet'!H49</f>
        <v>21861656.780000001</v>
      </c>
      <c r="I5" s="14">
        <f>'Input Worksheet'!I49</f>
        <v>0</v>
      </c>
      <c r="J5" s="14">
        <f>'Input Worksheet'!J49</f>
        <v>0</v>
      </c>
      <c r="K5" s="14">
        <f>'Input Worksheet'!K49</f>
        <v>3456000</v>
      </c>
      <c r="L5" s="14">
        <f>'Input Worksheet'!L49</f>
        <v>0</v>
      </c>
      <c r="M5" s="14">
        <f>'Input Worksheet'!M49</f>
        <v>0</v>
      </c>
      <c r="N5" s="14">
        <f>'Input Worksheet'!N49</f>
        <v>4492800</v>
      </c>
      <c r="O5" s="14">
        <f>SUM(C5:N5)</f>
        <v>64710456.780000001</v>
      </c>
    </row>
    <row r="6" spans="2:15" x14ac:dyDescent="0.3">
      <c r="B6" s="3" t="s">
        <v>18</v>
      </c>
      <c r="C6" s="14">
        <f>'Input Worksheet'!C54</f>
        <v>40000</v>
      </c>
      <c r="D6" s="14">
        <f>'Input Worksheet'!D54</f>
        <v>40000</v>
      </c>
      <c r="E6" s="14">
        <f>'Input Worksheet'!E54</f>
        <v>240000</v>
      </c>
      <c r="F6" s="14">
        <f>'Input Worksheet'!F54</f>
        <v>40000</v>
      </c>
      <c r="G6" s="14">
        <f>'Input Worksheet'!G54</f>
        <v>80000</v>
      </c>
      <c r="H6" s="14">
        <f>'Input Worksheet'!H54</f>
        <v>80000</v>
      </c>
      <c r="I6" s="14">
        <f>'Input Worksheet'!I54</f>
        <v>80000</v>
      </c>
      <c r="J6" s="14">
        <f>'Input Worksheet'!J54</f>
        <v>280000</v>
      </c>
      <c r="K6" s="14">
        <f>'Input Worksheet'!K54</f>
        <v>400000</v>
      </c>
      <c r="L6" s="14">
        <f>'Input Worksheet'!L54</f>
        <v>120000</v>
      </c>
      <c r="M6" s="14">
        <f>'Input Worksheet'!M54</f>
        <v>400000</v>
      </c>
      <c r="N6" s="14">
        <f>'Input Worksheet'!N54</f>
        <v>80000</v>
      </c>
      <c r="O6" s="14">
        <f t="shared" ref="O6:O18" si="0">SUM(C6:N6)</f>
        <v>1880000</v>
      </c>
    </row>
    <row r="7" spans="2:15" x14ac:dyDescent="0.3">
      <c r="B7" s="3" t="s">
        <v>20</v>
      </c>
      <c r="C7" s="14">
        <f>'Input Worksheet'!C28</f>
        <v>7042958.1100000003</v>
      </c>
      <c r="D7" s="14">
        <f>'Input Worksheet'!D28</f>
        <v>5146814.6300000008</v>
      </c>
      <c r="E7" s="14">
        <f>'Input Worksheet'!E28</f>
        <v>3355941.41</v>
      </c>
      <c r="F7" s="14">
        <f>'Input Worksheet'!F28</f>
        <v>3853173.41</v>
      </c>
      <c r="G7" s="14">
        <f>'Input Worksheet'!G28</f>
        <v>843380.87</v>
      </c>
      <c r="H7" s="14">
        <f>'Input Worksheet'!H28</f>
        <v>8073232</v>
      </c>
      <c r="I7" s="14">
        <f>'Input Worksheet'!I28</f>
        <v>4177173.41</v>
      </c>
      <c r="J7" s="14">
        <f>'Input Worksheet'!J28</f>
        <v>0</v>
      </c>
      <c r="K7" s="14">
        <f>'Input Worksheet'!K28</f>
        <v>0</v>
      </c>
      <c r="L7" s="14">
        <f>'Input Worksheet'!L28</f>
        <v>7698090.0265000006</v>
      </c>
      <c r="M7" s="14">
        <f>'Input Worksheet'!M28</f>
        <v>650000</v>
      </c>
      <c r="N7" s="14">
        <f>'Input Worksheet'!N28</f>
        <v>8600000</v>
      </c>
      <c r="O7" s="14">
        <f t="shared" si="0"/>
        <v>49440763.866500005</v>
      </c>
    </row>
    <row r="8" spans="2:15" x14ac:dyDescent="0.3">
      <c r="B8" s="3" t="s">
        <v>21</v>
      </c>
      <c r="C8" s="14">
        <f>'Input Worksheet'!C42</f>
        <v>405000</v>
      </c>
      <c r="D8" s="14">
        <f>'Input Worksheet'!D42</f>
        <v>300000</v>
      </c>
      <c r="E8" s="14">
        <f>'Input Worksheet'!E42</f>
        <v>621000</v>
      </c>
      <c r="F8" s="14">
        <f>'Input Worksheet'!F42</f>
        <v>500000</v>
      </c>
      <c r="G8" s="14">
        <f>'Input Worksheet'!G42</f>
        <v>500000</v>
      </c>
      <c r="H8" s="14">
        <f>'Input Worksheet'!H42</f>
        <v>800000</v>
      </c>
      <c r="I8" s="14">
        <f>'Input Worksheet'!I42</f>
        <v>500000</v>
      </c>
      <c r="J8" s="14">
        <f>'Input Worksheet'!J42</f>
        <v>542000</v>
      </c>
      <c r="K8" s="14">
        <f>'Input Worksheet'!K42</f>
        <v>1000000</v>
      </c>
      <c r="L8" s="14">
        <f>'Input Worksheet'!L42</f>
        <v>771000</v>
      </c>
      <c r="M8" s="14">
        <f>'Input Worksheet'!M42</f>
        <v>792000</v>
      </c>
      <c r="N8" s="14">
        <f>'Input Worksheet'!N42</f>
        <v>1750000</v>
      </c>
      <c r="O8" s="14">
        <f t="shared" si="0"/>
        <v>8481000</v>
      </c>
    </row>
    <row r="9" spans="2:15" x14ac:dyDescent="0.3">
      <c r="B9" s="3" t="s">
        <v>22</v>
      </c>
      <c r="C9" s="14">
        <f>'Input Worksheet'!C61</f>
        <v>2800000</v>
      </c>
      <c r="D9" s="14">
        <f>'Input Worksheet'!D61</f>
        <v>3000000</v>
      </c>
      <c r="E9" s="14">
        <f>'Input Worksheet'!E61</f>
        <v>3070000</v>
      </c>
      <c r="F9" s="14">
        <f>'Input Worksheet'!F61</f>
        <v>3499600</v>
      </c>
      <c r="G9" s="14">
        <f>'Input Worksheet'!G61</f>
        <v>3499600</v>
      </c>
      <c r="H9" s="14">
        <f>'Input Worksheet'!H61</f>
        <v>3569600</v>
      </c>
      <c r="I9" s="14">
        <f>'Input Worksheet'!I61</f>
        <v>4124000.08</v>
      </c>
      <c r="J9" s="14">
        <f>'Input Worksheet'!J61</f>
        <v>4904375.2999840006</v>
      </c>
      <c r="K9" s="14">
        <f>'Input Worksheet'!K61</f>
        <v>5949688.2499200031</v>
      </c>
      <c r="L9" s="14">
        <f>'Input Worksheet'!L61</f>
        <v>7098634.37475002</v>
      </c>
      <c r="M9" s="14">
        <f>'Input Worksheet'!M61</f>
        <v>7098634.37475002</v>
      </c>
      <c r="N9" s="14">
        <f>'Input Worksheet'!N61</f>
        <v>7168634.37475002</v>
      </c>
      <c r="O9" s="14">
        <f t="shared" si="0"/>
        <v>55782766.754154056</v>
      </c>
    </row>
    <row r="10" spans="2:15" x14ac:dyDescent="0.3">
      <c r="B10" s="3" t="s">
        <v>23</v>
      </c>
      <c r="C10" s="14">
        <f>'Input Worksheet'!C92</f>
        <v>7000000</v>
      </c>
      <c r="D10" s="14"/>
      <c r="E10" s="14"/>
      <c r="F10" s="14"/>
      <c r="G10" s="14"/>
      <c r="H10" s="14">
        <f>'Input Worksheet'!H92</f>
        <v>16600000</v>
      </c>
      <c r="I10" s="14"/>
      <c r="J10" s="14"/>
      <c r="K10" s="14"/>
      <c r="L10" s="14"/>
      <c r="M10" s="14">
        <f>'Input Worksheet'!M92</f>
        <v>47800000</v>
      </c>
      <c r="N10" s="14"/>
      <c r="O10" s="14">
        <f t="shared" si="0"/>
        <v>71400000</v>
      </c>
    </row>
    <row r="11" spans="2:15" x14ac:dyDescent="0.3">
      <c r="B11" s="3" t="s">
        <v>24</v>
      </c>
      <c r="C11" s="14">
        <f>'Input Worksheet'!C66</f>
        <v>897000</v>
      </c>
      <c r="D11" s="14">
        <f>'Input Worksheet'!D66</f>
        <v>975000</v>
      </c>
      <c r="E11" s="14">
        <f>'Input Worksheet'!E66</f>
        <v>2757000</v>
      </c>
      <c r="F11" s="14">
        <f>'Input Worksheet'!F66</f>
        <v>1209000</v>
      </c>
      <c r="G11" s="14">
        <f>'Input Worksheet'!G66</f>
        <v>1209000</v>
      </c>
      <c r="H11" s="14">
        <f>'Input Worksheet'!H66</f>
        <v>3054000</v>
      </c>
      <c r="I11" s="14">
        <f>'Input Worksheet'!I66</f>
        <v>1326000</v>
      </c>
      <c r="J11" s="14">
        <f>'Input Worksheet'!J66</f>
        <v>1326000</v>
      </c>
      <c r="K11" s="14">
        <f>'Input Worksheet'!K66</f>
        <v>3306000</v>
      </c>
      <c r="L11" s="14">
        <f>'Input Worksheet'!L66</f>
        <v>1326000</v>
      </c>
      <c r="M11" s="14">
        <f>'Input Worksheet'!M66</f>
        <v>1326000</v>
      </c>
      <c r="N11" s="14">
        <f>'Input Worksheet'!N66</f>
        <v>1326000</v>
      </c>
      <c r="O11" s="14">
        <f t="shared" si="0"/>
        <v>20037000</v>
      </c>
    </row>
    <row r="12" spans="2:15" x14ac:dyDescent="0.3">
      <c r="B12" s="3" t="s">
        <v>25</v>
      </c>
      <c r="C12" s="14">
        <f>'Input Worksheet'!C72</f>
        <v>603417.62</v>
      </c>
      <c r="D12" s="14">
        <f>'Input Worksheet'!D72</f>
        <v>588432</v>
      </c>
      <c r="E12" s="14">
        <f>'Input Worksheet'!E72</f>
        <v>1465052.344</v>
      </c>
      <c r="F12" s="14">
        <f>'Input Worksheet'!F72</f>
        <v>953259.84</v>
      </c>
      <c r="G12" s="14">
        <f>'Input Worksheet'!G72</f>
        <v>1211388.7968000001</v>
      </c>
      <c r="H12" s="14">
        <f>'Input Worksheet'!H72</f>
        <v>1348444.4064</v>
      </c>
      <c r="I12" s="14">
        <f>'Input Worksheet'!I72</f>
        <v>1480432.7116799999</v>
      </c>
      <c r="J12" s="14">
        <f>'Input Worksheet'!J72</f>
        <v>1268788.8470399999</v>
      </c>
      <c r="K12" s="14">
        <f>'Input Worksheet'!K72</f>
        <v>1776261.4846079999</v>
      </c>
      <c r="L12" s="14">
        <f>'Input Worksheet'!L72</f>
        <v>1268788.8470399999</v>
      </c>
      <c r="M12" s="14">
        <f>'Input Worksheet'!M72</f>
        <v>1573556.0121215999</v>
      </c>
      <c r="N12" s="14">
        <f>'Input Worksheet'!N72</f>
        <v>1522288.8470399999</v>
      </c>
      <c r="O12" s="14">
        <f t="shared" si="0"/>
        <v>15060111.756729597</v>
      </c>
    </row>
    <row r="13" spans="2:15" x14ac:dyDescent="0.3">
      <c r="B13" s="3" t="s">
        <v>27</v>
      </c>
      <c r="C13" s="14">
        <f>'Input Worksheet'!C76</f>
        <v>30000000</v>
      </c>
      <c r="D13" s="14">
        <f>'Input Worksheet'!D76</f>
        <v>0</v>
      </c>
      <c r="E13" s="14">
        <f>'Input Worksheet'!E76</f>
        <v>0</v>
      </c>
      <c r="F13" s="14">
        <f>'Input Worksheet'!F76</f>
        <v>0</v>
      </c>
      <c r="G13" s="14">
        <f>'Input Worksheet'!G76</f>
        <v>0</v>
      </c>
      <c r="H13" s="14">
        <f>'Input Worksheet'!H76</f>
        <v>0</v>
      </c>
      <c r="I13" s="14">
        <f>'Input Worksheet'!I76</f>
        <v>0</v>
      </c>
      <c r="J13" s="14">
        <f>'Input Worksheet'!J76</f>
        <v>0</v>
      </c>
      <c r="K13" s="14">
        <f>'Input Worksheet'!K76</f>
        <v>0</v>
      </c>
      <c r="L13" s="14">
        <f>'Input Worksheet'!L76</f>
        <v>0</v>
      </c>
      <c r="M13" s="14">
        <f>'Input Worksheet'!M76</f>
        <v>0</v>
      </c>
      <c r="N13" s="14">
        <f>'Input Worksheet'!N76</f>
        <v>0</v>
      </c>
      <c r="O13" s="14">
        <f t="shared" si="0"/>
        <v>30000000</v>
      </c>
    </row>
    <row r="14" spans="2:15" x14ac:dyDescent="0.3">
      <c r="B14" s="3" t="s">
        <v>223</v>
      </c>
      <c r="C14" s="14">
        <f>'Input Worksheet'!C86</f>
        <v>450000</v>
      </c>
      <c r="D14" s="14">
        <f>'Input Worksheet'!D86</f>
        <v>0</v>
      </c>
      <c r="E14" s="14">
        <f>'Input Worksheet'!E86</f>
        <v>5000000</v>
      </c>
      <c r="F14" s="14">
        <f>'Input Worksheet'!F86</f>
        <v>0</v>
      </c>
      <c r="G14" s="14">
        <f>'Input Worksheet'!G86</f>
        <v>0</v>
      </c>
      <c r="H14" s="14">
        <f>'Input Worksheet'!H86</f>
        <v>5580500</v>
      </c>
      <c r="I14" s="14">
        <f>'Input Worksheet'!I86</f>
        <v>0</v>
      </c>
      <c r="J14" s="14">
        <f>'Input Worksheet'!J86</f>
        <v>0</v>
      </c>
      <c r="K14" s="14">
        <f>'Input Worksheet'!K86</f>
        <v>5000000</v>
      </c>
      <c r="L14" s="14">
        <f>'Input Worksheet'!L86</f>
        <v>0</v>
      </c>
      <c r="M14" s="14">
        <f>'Input Worksheet'!M86</f>
        <v>0</v>
      </c>
      <c r="N14" s="14">
        <f>'Input Worksheet'!N86</f>
        <v>0</v>
      </c>
      <c r="O14" s="14"/>
    </row>
    <row r="15" spans="2:15" x14ac:dyDescent="0.3">
      <c r="B15" s="3" t="s">
        <v>28</v>
      </c>
      <c r="C15" s="14">
        <f>'Input Worksheet'!C81</f>
        <v>0</v>
      </c>
      <c r="D15" s="14">
        <f>'Input Worksheet'!D81</f>
        <v>0</v>
      </c>
      <c r="E15" s="14">
        <f>'Input Worksheet'!E81</f>
        <v>0</v>
      </c>
      <c r="F15" s="14">
        <f>'Input Worksheet'!F81</f>
        <v>0</v>
      </c>
      <c r="G15" s="14">
        <f>'Input Worksheet'!G81</f>
        <v>0</v>
      </c>
      <c r="H15" s="14">
        <f>'Input Worksheet'!H81</f>
        <v>0</v>
      </c>
      <c r="I15" s="14">
        <f>'Input Worksheet'!I81</f>
        <v>0</v>
      </c>
      <c r="J15" s="14">
        <f>'Input Worksheet'!J81</f>
        <v>0</v>
      </c>
      <c r="K15" s="14">
        <f>'Input Worksheet'!K81</f>
        <v>0</v>
      </c>
      <c r="L15" s="14">
        <f>'Input Worksheet'!L81</f>
        <v>4119615</v>
      </c>
      <c r="M15" s="14">
        <f>'Input Worksheet'!M81</f>
        <v>0</v>
      </c>
      <c r="N15" s="14">
        <f>'Input Worksheet'!N81</f>
        <v>25800000</v>
      </c>
      <c r="O15" s="14">
        <f t="shared" si="0"/>
        <v>29919615</v>
      </c>
    </row>
    <row r="16" spans="2:15" x14ac:dyDescent="0.3">
      <c r="B16" s="3" t="s">
        <v>29</v>
      </c>
      <c r="C16" s="14">
        <f>'Input Worksheet'!C35</f>
        <v>2365333.2999999998</v>
      </c>
      <c r="D16" s="14">
        <f>'Input Worksheet'!D35</f>
        <v>2311333.2999999998</v>
      </c>
      <c r="E16" s="14">
        <f>'Input Worksheet'!E35</f>
        <v>2661333.2999999998</v>
      </c>
      <c r="F16" s="14">
        <f>'Input Worksheet'!F35</f>
        <v>3287085.9583399999</v>
      </c>
      <c r="G16" s="14">
        <f>'Input Worksheet'!G35</f>
        <v>3179085.9583399999</v>
      </c>
      <c r="H16" s="14">
        <f>'Input Worksheet'!H35</f>
        <v>3179085.9583399999</v>
      </c>
      <c r="I16" s="14">
        <f>'Input Worksheet'!I35</f>
        <v>3413006.6307333321</v>
      </c>
      <c r="J16" s="14">
        <f>'Input Worksheet'!J35</f>
        <v>3305006.6307333321</v>
      </c>
      <c r="K16" s="14">
        <f>'Input Worksheet'!K35</f>
        <v>3305006.6307333321</v>
      </c>
      <c r="L16" s="14">
        <f>'Input Worksheet'!L35</f>
        <v>3462382.2870905185</v>
      </c>
      <c r="M16" s="14">
        <f>'Input Worksheet'!M35</f>
        <v>3462382.2870905185</v>
      </c>
      <c r="N16" s="14">
        <f>'Input Worksheet'!N35</f>
        <v>3462382.2870905185</v>
      </c>
      <c r="O16" s="14">
        <f t="shared" si="0"/>
        <v>37393424.528491557</v>
      </c>
    </row>
    <row r="17" spans="2:15" x14ac:dyDescent="0.3">
      <c r="B17" s="3" t="s">
        <v>30</v>
      </c>
      <c r="C17" s="14">
        <f>'Input Worksheet'!C21</f>
        <v>13641222.390000001</v>
      </c>
      <c r="D17" s="14">
        <f>'Input Worksheet'!D21</f>
        <v>16237203.846799999</v>
      </c>
      <c r="E17" s="14">
        <f>'Input Worksheet'!E21</f>
        <v>27949214.178000003</v>
      </c>
      <c r="F17" s="14">
        <f>'Input Worksheet'!F21</f>
        <v>26994693.390000001</v>
      </c>
      <c r="G17" s="14">
        <f>'Input Worksheet'!G21</f>
        <v>18287994.890000001</v>
      </c>
      <c r="H17" s="14">
        <f>'Input Worksheet'!H21</f>
        <v>32768565.942000002</v>
      </c>
      <c r="I17" s="14">
        <f>'Input Worksheet'!I21</f>
        <v>38459526.328000002</v>
      </c>
      <c r="J17" s="14">
        <f>'Input Worksheet'!J21</f>
        <v>20303065.18</v>
      </c>
      <c r="K17" s="14">
        <f>'Input Worksheet'!K21</f>
        <v>35091294.886</v>
      </c>
      <c r="L17" s="14">
        <f>'Input Worksheet'!L21</f>
        <v>35166014.604800001</v>
      </c>
      <c r="M17" s="14">
        <f>'Input Worksheet'!M21</f>
        <v>21004788.390000001</v>
      </c>
      <c r="N17" s="14">
        <f>'Input Worksheet'!N21</f>
        <v>64597783.020000003</v>
      </c>
      <c r="O17" s="14">
        <f t="shared" si="0"/>
        <v>350501367.0456</v>
      </c>
    </row>
    <row r="18" spans="2:15" x14ac:dyDescent="0.3">
      <c r="B18" s="3" t="s">
        <v>31</v>
      </c>
      <c r="C18" s="14">
        <v>172000000</v>
      </c>
      <c r="D18" s="14">
        <f>'Capital Expenditure'!D9</f>
        <v>0</v>
      </c>
      <c r="E18" s="14"/>
      <c r="F18" s="14">
        <f>'Capital Expenditure'!F9</f>
        <v>0</v>
      </c>
      <c r="G18" s="14">
        <f>'Capital Expenditure'!G9</f>
        <v>0</v>
      </c>
      <c r="H18" s="14">
        <f>'Capital Expenditure'!H9</f>
        <v>0</v>
      </c>
      <c r="I18" s="14">
        <f>'Capital Expenditure'!I9</f>
        <v>0</v>
      </c>
      <c r="J18" s="14">
        <f>'Capital Expenditure'!J9</f>
        <v>0</v>
      </c>
      <c r="K18" s="14">
        <f>'Capital Expenditure'!K9</f>
        <v>0</v>
      </c>
      <c r="L18" s="14">
        <f>'Capital Expenditure'!L9</f>
        <v>0</v>
      </c>
      <c r="M18" s="14">
        <f>'Capital Expenditure'!M9</f>
        <v>0</v>
      </c>
      <c r="N18" s="14">
        <f>'Capital Expenditure'!N9</f>
        <v>0</v>
      </c>
      <c r="O18" s="14">
        <f t="shared" si="0"/>
        <v>172000000</v>
      </c>
    </row>
    <row r="19" spans="2:15" ht="24" customHeight="1" x14ac:dyDescent="0.3">
      <c r="B19" s="8" t="s">
        <v>16</v>
      </c>
      <c r="C19" s="15">
        <f>SUM(C5:C18)</f>
        <v>237244931.42000002</v>
      </c>
      <c r="D19" s="15">
        <f t="shared" ref="D19:N19" si="1">SUM(D5:D18)</f>
        <v>28598783.776799999</v>
      </c>
      <c r="E19" s="15">
        <f t="shared" si="1"/>
        <v>82019541.231999993</v>
      </c>
      <c r="F19" s="15">
        <f t="shared" si="1"/>
        <v>40336812.598340005</v>
      </c>
      <c r="G19" s="15">
        <f t="shared" si="1"/>
        <v>28810450.515140001</v>
      </c>
      <c r="H19" s="15">
        <f t="shared" si="1"/>
        <v>96915085.086740002</v>
      </c>
      <c r="I19" s="15">
        <f t="shared" si="1"/>
        <v>53560139.160413332</v>
      </c>
      <c r="J19" s="15">
        <f t="shared" si="1"/>
        <v>31929235.957757331</v>
      </c>
      <c r="K19" s="15">
        <f t="shared" si="1"/>
        <v>59284251.251261339</v>
      </c>
      <c r="L19" s="15">
        <f t="shared" si="1"/>
        <v>61030525.140180543</v>
      </c>
      <c r="M19" s="15">
        <f t="shared" si="1"/>
        <v>84107361.063962132</v>
      </c>
      <c r="N19" s="15">
        <f t="shared" si="1"/>
        <v>118799888.52888054</v>
      </c>
      <c r="O19" s="15">
        <f>SUM(O5:O18)</f>
        <v>906606505.73147523</v>
      </c>
    </row>
    <row r="20" spans="2:15" x14ac:dyDescent="0.3">
      <c r="B20" s="7"/>
    </row>
    <row r="25" spans="2:15" x14ac:dyDescent="0.3">
      <c r="F25" s="33"/>
    </row>
  </sheetData>
  <mergeCells count="2">
    <mergeCell ref="B3:O3"/>
    <mergeCell ref="B2:O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2"/>
  <sheetViews>
    <sheetView tabSelected="1" zoomScale="120" zoomScaleNormal="120" workbookViewId="0">
      <pane ySplit="1" topLeftCell="A71" activePane="bottomLeft" state="frozen"/>
      <selection pane="bottomLeft" activeCell="L91" sqref="L91:N91"/>
    </sheetView>
  </sheetViews>
  <sheetFormatPr defaultRowHeight="14.4" x14ac:dyDescent="0.3"/>
  <cols>
    <col min="2" max="2" width="46.33203125" customWidth="1"/>
    <col min="3" max="3" width="21.6640625" style="21" customWidth="1"/>
    <col min="4" max="4" width="16.88671875" customWidth="1"/>
    <col min="5" max="5" width="15" customWidth="1"/>
    <col min="6" max="6" width="17.33203125" customWidth="1"/>
    <col min="7" max="8" width="15" customWidth="1"/>
    <col min="9" max="10" width="14.6640625" bestFit="1" customWidth="1"/>
    <col min="11" max="11" width="15" bestFit="1" customWidth="1"/>
    <col min="12" max="12" width="15.88671875" bestFit="1" customWidth="1"/>
    <col min="13" max="13" width="14.6640625" bestFit="1" customWidth="1"/>
    <col min="14" max="14" width="15" bestFit="1" customWidth="1"/>
    <col min="15" max="15" width="15.33203125" bestFit="1" customWidth="1"/>
    <col min="17" max="17" width="13.33203125" bestFit="1" customWidth="1"/>
  </cols>
  <sheetData>
    <row r="1" spans="2:17" x14ac:dyDescent="0.3">
      <c r="B1" s="6"/>
      <c r="C1" s="18" t="s">
        <v>4</v>
      </c>
      <c r="D1" s="6" t="s">
        <v>5</v>
      </c>
      <c r="E1" s="6" t="s">
        <v>6</v>
      </c>
      <c r="F1" s="6" t="s">
        <v>7</v>
      </c>
      <c r="G1" s="6" t="s">
        <v>8</v>
      </c>
      <c r="H1" s="6" t="s">
        <v>9</v>
      </c>
      <c r="I1" s="6" t="s">
        <v>10</v>
      </c>
      <c r="J1" s="6" t="s">
        <v>11</v>
      </c>
      <c r="K1" s="6" t="s">
        <v>12</v>
      </c>
      <c r="L1" s="6" t="s">
        <v>13</v>
      </c>
      <c r="M1" s="6" t="s">
        <v>14</v>
      </c>
      <c r="N1" s="6" t="s">
        <v>15</v>
      </c>
      <c r="O1" s="6" t="s">
        <v>16</v>
      </c>
    </row>
    <row r="2" spans="2:17" x14ac:dyDescent="0.3">
      <c r="B2" s="1"/>
      <c r="C2" s="19"/>
      <c r="D2" s="19"/>
      <c r="E2" s="19"/>
      <c r="F2" s="19"/>
      <c r="G2" s="19"/>
      <c r="H2" s="19"/>
      <c r="I2" s="19"/>
      <c r="J2" s="19"/>
      <c r="K2" s="19"/>
      <c r="L2" s="19"/>
      <c r="M2" s="19"/>
      <c r="N2" s="19"/>
      <c r="O2" s="19"/>
    </row>
    <row r="3" spans="2:17" x14ac:dyDescent="0.3">
      <c r="B3" s="3" t="s">
        <v>41</v>
      </c>
      <c r="C3" s="19"/>
      <c r="D3" s="19"/>
      <c r="E3" s="19"/>
      <c r="F3" s="19"/>
      <c r="G3" s="19"/>
      <c r="H3" s="19"/>
      <c r="I3" s="19"/>
      <c r="J3" s="19"/>
      <c r="K3" s="19"/>
      <c r="L3" s="19"/>
      <c r="M3" s="19"/>
      <c r="N3" s="19"/>
      <c r="O3" s="19"/>
    </row>
    <row r="4" spans="2:17" x14ac:dyDescent="0.3">
      <c r="B4" s="9" t="s">
        <v>42</v>
      </c>
      <c r="C4" s="19">
        <v>9789866.6699999999</v>
      </c>
      <c r="D4" s="19">
        <f t="shared" ref="D4:J4" si="0">SUM(C4,C11)</f>
        <v>11688368.390000001</v>
      </c>
      <c r="E4" s="19">
        <f t="shared" si="0"/>
        <v>12118543.390000001</v>
      </c>
      <c r="F4" s="19">
        <f t="shared" si="0"/>
        <v>13384543.390000001</v>
      </c>
      <c r="G4" s="19">
        <f t="shared" si="0"/>
        <v>15686543.390000001</v>
      </c>
      <c r="H4" s="19">
        <f t="shared" si="0"/>
        <v>15686543.390000001</v>
      </c>
      <c r="I4" s="19">
        <f t="shared" si="0"/>
        <v>15686543.390000001</v>
      </c>
      <c r="J4" s="19">
        <f t="shared" si="0"/>
        <v>17186543.390000001</v>
      </c>
      <c r="K4" s="19">
        <f t="shared" ref="K4:N4" si="1">SUM(J4,J11)</f>
        <v>17186543.390000001</v>
      </c>
      <c r="L4" s="19">
        <f t="shared" si="1"/>
        <v>17186543.390000001</v>
      </c>
      <c r="M4" s="19">
        <f t="shared" si="1"/>
        <v>17186543.390000001</v>
      </c>
      <c r="N4" s="19">
        <f t="shared" si="1"/>
        <v>17186543.390000001</v>
      </c>
      <c r="O4" s="19">
        <f>SUM(C4:N4)</f>
        <v>179973668.95999998</v>
      </c>
      <c r="Q4" s="24"/>
    </row>
    <row r="5" spans="2:17" x14ac:dyDescent="0.3">
      <c r="B5" s="9" t="s">
        <v>44</v>
      </c>
      <c r="C5" s="19"/>
      <c r="D5" s="19"/>
      <c r="E5" s="19">
        <v>145663.788</v>
      </c>
      <c r="F5" s="34" t="s">
        <v>143</v>
      </c>
      <c r="G5" s="36">
        <v>111793.5</v>
      </c>
      <c r="H5" s="35">
        <f>60047.352+182317.2</f>
        <v>242364.55200000003</v>
      </c>
      <c r="I5" s="35">
        <f>70724.748+111793.5</f>
        <v>182518.24800000002</v>
      </c>
      <c r="J5" s="19">
        <f>180600+180600+ 145663.79</f>
        <v>506863.79000000004</v>
      </c>
      <c r="K5" s="19">
        <f>279185.316
+126114.68
+111793.5+378000</f>
        <v>895093.49600000004</v>
      </c>
      <c r="L5" s="19">
        <f>174075.444
+174075.444+152917.2</f>
        <v>501068.08799999999</v>
      </c>
      <c r="M5" s="19">
        <f>111793.5
+111793.5</f>
        <v>223587</v>
      </c>
      <c r="N5" s="19">
        <f>111793.5
+111793.5</f>
        <v>223587</v>
      </c>
      <c r="O5" s="19">
        <f t="shared" ref="O5:O12" si="2">SUM(C5:N5)</f>
        <v>3032539.4620000003</v>
      </c>
    </row>
    <row r="6" spans="2:17" x14ac:dyDescent="0.3">
      <c r="B6" s="9" t="s">
        <v>46</v>
      </c>
      <c r="C6" s="19"/>
      <c r="D6" s="19"/>
      <c r="E6" s="19"/>
      <c r="F6" s="19">
        <v>8656342</v>
      </c>
      <c r="G6" s="19"/>
      <c r="H6" s="19"/>
      <c r="I6" s="19">
        <v>9789867</v>
      </c>
      <c r="J6" s="19"/>
      <c r="K6" s="19"/>
      <c r="L6" s="19">
        <f>SUM(C4,242000,242000,D11,E11)</f>
        <v>11970041.67</v>
      </c>
      <c r="M6" s="19"/>
      <c r="N6" s="19"/>
      <c r="O6" s="19">
        <f t="shared" si="2"/>
        <v>30416250.670000002</v>
      </c>
    </row>
    <row r="7" spans="2:17" x14ac:dyDescent="0.3">
      <c r="B7" s="9" t="s">
        <v>48</v>
      </c>
      <c r="C7" s="19"/>
      <c r="D7" s="19"/>
      <c r="E7" s="19"/>
      <c r="F7" s="19"/>
      <c r="G7" s="19"/>
      <c r="H7" s="19"/>
      <c r="I7" s="19"/>
      <c r="J7" s="19"/>
      <c r="K7" s="19"/>
      <c r="L7" s="19"/>
      <c r="M7" s="19"/>
      <c r="N7" s="19">
        <f>N4</f>
        <v>17186543.390000001</v>
      </c>
      <c r="O7" s="19">
        <f t="shared" si="2"/>
        <v>17186543.390000001</v>
      </c>
    </row>
    <row r="8" spans="2:17" x14ac:dyDescent="0.3">
      <c r="B8" s="9" t="s">
        <v>50</v>
      </c>
      <c r="C8" s="19"/>
      <c r="D8" s="19"/>
      <c r="E8" s="19"/>
      <c r="F8" s="19"/>
      <c r="G8" s="19"/>
      <c r="H8" s="19"/>
      <c r="I8" s="19">
        <f>(14742806.36-C4)+3000000</f>
        <v>7952939.6899999995</v>
      </c>
      <c r="J8" s="19"/>
      <c r="K8" s="19"/>
      <c r="L8" s="19"/>
      <c r="M8" s="19"/>
      <c r="N8" s="19"/>
      <c r="O8" s="19">
        <f t="shared" si="2"/>
        <v>7952939.6899999995</v>
      </c>
    </row>
    <row r="9" spans="2:17" x14ac:dyDescent="0.3">
      <c r="B9" s="9" t="s">
        <v>52</v>
      </c>
      <c r="C9" s="19"/>
      <c r="D9" s="19"/>
      <c r="E9" s="19"/>
      <c r="F9" s="19"/>
      <c r="G9" s="19"/>
      <c r="H9" s="19"/>
      <c r="I9" s="19"/>
      <c r="J9" s="19"/>
      <c r="K9" s="19"/>
      <c r="L9" s="19"/>
      <c r="M9" s="19"/>
      <c r="N9" s="19">
        <f>0.2498*3993800+(3993800)</f>
        <v>4991451.24</v>
      </c>
      <c r="O9" s="19">
        <f t="shared" si="2"/>
        <v>4991451.24</v>
      </c>
    </row>
    <row r="10" spans="2:17" x14ac:dyDescent="0.3">
      <c r="B10" s="9" t="s">
        <v>54</v>
      </c>
      <c r="C10" s="19"/>
      <c r="D10" s="19"/>
      <c r="E10" s="19">
        <f>400000*30</f>
        <v>12000000</v>
      </c>
      <c r="F10" s="19"/>
      <c r="G10" s="19"/>
      <c r="H10" s="19">
        <f>400000*33+1100000</f>
        <v>14300000</v>
      </c>
      <c r="I10" s="19">
        <v>575850</v>
      </c>
      <c r="J10" s="19"/>
      <c r="K10" s="19">
        <f>400000*36</f>
        <v>14400000</v>
      </c>
      <c r="L10" s="19">
        <v>1025000</v>
      </c>
      <c r="M10" s="19">
        <v>985000</v>
      </c>
      <c r="N10" s="19">
        <f>400000*36</f>
        <v>14400000</v>
      </c>
      <c r="O10" s="19">
        <f t="shared" si="2"/>
        <v>57685850</v>
      </c>
    </row>
    <row r="11" spans="2:17" x14ac:dyDescent="0.3">
      <c r="B11" s="9" t="s">
        <v>56</v>
      </c>
      <c r="C11" s="19">
        <f>955987.17+ 942514.55</f>
        <v>1898501.7200000002</v>
      </c>
      <c r="D11" s="19">
        <f>255175+175000</f>
        <v>430175</v>
      </c>
      <c r="E11" s="19">
        <f>422000+422000+422000</f>
        <v>1266000</v>
      </c>
      <c r="F11" s="19">
        <f>1200000+680000+422000</f>
        <v>2302000</v>
      </c>
      <c r="G11" s="19"/>
      <c r="H11" s="19"/>
      <c r="I11" s="19">
        <f>500000+500000+500000</f>
        <v>1500000</v>
      </c>
      <c r="J11" s="19"/>
      <c r="K11" s="19"/>
      <c r="L11" s="19"/>
      <c r="M11" s="19"/>
      <c r="N11" s="19"/>
      <c r="O11" s="19">
        <f t="shared" si="2"/>
        <v>7396676.7200000007</v>
      </c>
    </row>
    <row r="12" spans="2:17" x14ac:dyDescent="0.3">
      <c r="B12" s="9" t="s">
        <v>60</v>
      </c>
      <c r="C12" s="19">
        <f>50000*2</f>
        <v>100000</v>
      </c>
      <c r="D12" s="19"/>
      <c r="E12" s="19"/>
      <c r="F12" s="19"/>
      <c r="G12" s="19"/>
      <c r="H12" s="19">
        <v>50000</v>
      </c>
      <c r="I12" s="19"/>
      <c r="J12" s="19"/>
      <c r="K12" s="19"/>
      <c r="L12" s="19"/>
      <c r="M12" s="19"/>
      <c r="N12" s="19"/>
      <c r="O12" s="19">
        <f t="shared" si="2"/>
        <v>150000</v>
      </c>
    </row>
    <row r="13" spans="2:17" x14ac:dyDescent="0.3">
      <c r="B13" s="9" t="s">
        <v>210</v>
      </c>
      <c r="C13" s="19">
        <v>798454</v>
      </c>
      <c r="D13" s="19">
        <v>1136857</v>
      </c>
      <c r="E13" s="19">
        <v>1136857</v>
      </c>
      <c r="F13" s="19">
        <f>1136857+112801</f>
        <v>1249658</v>
      </c>
      <c r="G13" s="19">
        <f t="shared" ref="G13:N13" si="3">1136857+112801</f>
        <v>1249658</v>
      </c>
      <c r="H13" s="19">
        <f t="shared" si="3"/>
        <v>1249658</v>
      </c>
      <c r="I13" s="19">
        <f t="shared" si="3"/>
        <v>1249658</v>
      </c>
      <c r="J13" s="19">
        <f t="shared" si="3"/>
        <v>1249658</v>
      </c>
      <c r="K13" s="19">
        <f t="shared" si="3"/>
        <v>1249658</v>
      </c>
      <c r="L13" s="19">
        <f t="shared" si="3"/>
        <v>1249658</v>
      </c>
      <c r="M13" s="19">
        <f t="shared" si="3"/>
        <v>1249658</v>
      </c>
      <c r="N13" s="19">
        <f t="shared" si="3"/>
        <v>1249658</v>
      </c>
      <c r="O13" s="19">
        <f t="shared" ref="O13:O18" si="4">SUM(C13:N13)</f>
        <v>14319090</v>
      </c>
    </row>
    <row r="14" spans="2:17" x14ac:dyDescent="0.3">
      <c r="B14" s="9" t="s">
        <v>66</v>
      </c>
      <c r="C14" s="19"/>
      <c r="D14" s="19">
        <f>(O4+O11)*0.01</f>
        <v>1873703.4567999998</v>
      </c>
      <c r="E14" s="19"/>
      <c r="F14" s="19"/>
      <c r="G14" s="19"/>
      <c r="H14" s="19"/>
      <c r="I14" s="19"/>
      <c r="J14" s="19"/>
      <c r="K14" s="19"/>
      <c r="L14" s="19"/>
      <c r="M14" s="19"/>
      <c r="N14" s="19"/>
      <c r="O14" s="19">
        <f t="shared" si="4"/>
        <v>1873703.4567999998</v>
      </c>
    </row>
    <row r="15" spans="2:17" hidden="1" x14ac:dyDescent="0.3">
      <c r="B15" s="9" t="s">
        <v>68</v>
      </c>
      <c r="C15" s="19"/>
      <c r="D15" s="19"/>
      <c r="E15" s="19"/>
      <c r="F15" s="19"/>
      <c r="G15" s="19"/>
      <c r="H15" s="19"/>
      <c r="I15" s="19"/>
      <c r="J15" s="19"/>
      <c r="K15" s="19"/>
      <c r="L15" s="19"/>
      <c r="M15" s="19"/>
      <c r="N15" s="19"/>
      <c r="O15" s="19">
        <f t="shared" si="4"/>
        <v>0</v>
      </c>
    </row>
    <row r="16" spans="2:17" x14ac:dyDescent="0.3">
      <c r="B16" s="9" t="s">
        <v>70</v>
      </c>
      <c r="C16" s="19"/>
      <c r="D16" s="19"/>
      <c r="E16" s="19"/>
      <c r="F16" s="19"/>
      <c r="G16" s="19"/>
      <c r="H16" s="19"/>
      <c r="I16" s="19"/>
      <c r="J16" s="19"/>
      <c r="K16" s="19"/>
      <c r="L16" s="19">
        <f>(O4+O11)*0.01</f>
        <v>1873703.4567999998</v>
      </c>
      <c r="M16" s="19"/>
      <c r="N16" s="19"/>
      <c r="O16" s="19">
        <f t="shared" si="4"/>
        <v>1873703.4567999998</v>
      </c>
    </row>
    <row r="17" spans="2:15" x14ac:dyDescent="0.3">
      <c r="B17" s="9" t="s">
        <v>71</v>
      </c>
      <c r="C17" s="19">
        <f>44800*3</f>
        <v>134400</v>
      </c>
      <c r="D17" s="19">
        <f>44800*2</f>
        <v>89600</v>
      </c>
      <c r="E17" s="19">
        <f>44800*3</f>
        <v>134400</v>
      </c>
      <c r="F17" s="19">
        <f>44800*3</f>
        <v>134400</v>
      </c>
      <c r="G17" s="19"/>
      <c r="H17" s="19"/>
      <c r="I17" s="19">
        <f>F17</f>
        <v>134400</v>
      </c>
      <c r="J17" s="19"/>
      <c r="K17" s="19"/>
      <c r="L17" s="19"/>
      <c r="M17" s="19"/>
      <c r="N17" s="19"/>
      <c r="O17" s="19">
        <f t="shared" si="4"/>
        <v>627200</v>
      </c>
    </row>
    <row r="18" spans="2:15" x14ac:dyDescent="0.3">
      <c r="B18" s="9" t="s">
        <v>73</v>
      </c>
      <c r="C18" s="19"/>
      <c r="D18" s="19">
        <f>(4750+4500)*2</f>
        <v>18500</v>
      </c>
      <c r="E18" s="19">
        <f>(4750+4500)*3</f>
        <v>27750</v>
      </c>
      <c r="F18" s="19">
        <f>(4750+4500)*3</f>
        <v>27750</v>
      </c>
      <c r="G18" s="19"/>
      <c r="H18" s="19"/>
      <c r="I18" s="19">
        <f>F18</f>
        <v>27750</v>
      </c>
      <c r="J18" s="19">
        <f>$H18+0.03*$H18</f>
        <v>0</v>
      </c>
      <c r="K18" s="19">
        <f>$H18+0.03*$H18</f>
        <v>0</v>
      </c>
      <c r="L18" s="19">
        <f>$K18+0.02*$K18</f>
        <v>0</v>
      </c>
      <c r="M18" s="19">
        <f>$K18+0.02*$K18</f>
        <v>0</v>
      </c>
      <c r="N18" s="19">
        <f>$K18+0.02*$K18</f>
        <v>0</v>
      </c>
      <c r="O18" s="19">
        <f t="shared" si="4"/>
        <v>101750</v>
      </c>
    </row>
    <row r="19" spans="2:15" x14ac:dyDescent="0.3">
      <c r="B19" s="9" t="s">
        <v>214</v>
      </c>
      <c r="C19" s="19"/>
      <c r="D19" s="19"/>
      <c r="E19" s="19"/>
      <c r="F19" s="19"/>
      <c r="G19" s="19"/>
      <c r="H19" s="19"/>
      <c r="I19" s="19"/>
      <c r="J19" s="19"/>
      <c r="K19" s="19"/>
      <c r="L19" s="19"/>
      <c r="M19" s="19"/>
      <c r="N19" s="19">
        <v>8000000</v>
      </c>
      <c r="O19" s="19">
        <f>SUM(C19:N19)</f>
        <v>8000000</v>
      </c>
    </row>
    <row r="20" spans="2:15" x14ac:dyDescent="0.3">
      <c r="B20" s="9" t="s">
        <v>144</v>
      </c>
      <c r="C20" s="19">
        <f>40000*23</f>
        <v>920000</v>
      </c>
      <c r="D20" s="19">
        <f>40000*25</f>
        <v>1000000</v>
      </c>
      <c r="E20" s="19">
        <f>40000*28</f>
        <v>1120000</v>
      </c>
      <c r="F20" s="19">
        <f>40000*31</f>
        <v>1240000</v>
      </c>
      <c r="G20" s="19">
        <f t="shared" ref="G20:H20" si="5">40000*31</f>
        <v>1240000</v>
      </c>
      <c r="H20" s="19">
        <f t="shared" si="5"/>
        <v>1240000</v>
      </c>
      <c r="I20" s="19">
        <f>40000*34</f>
        <v>1360000</v>
      </c>
      <c r="J20" s="19">
        <f t="shared" ref="J20:N20" si="6">40000*34</f>
        <v>1360000</v>
      </c>
      <c r="K20" s="19">
        <f t="shared" si="6"/>
        <v>1360000</v>
      </c>
      <c r="L20" s="19">
        <f t="shared" si="6"/>
        <v>1360000</v>
      </c>
      <c r="M20" s="19">
        <f t="shared" si="6"/>
        <v>1360000</v>
      </c>
      <c r="N20" s="19">
        <f t="shared" si="6"/>
        <v>1360000</v>
      </c>
      <c r="O20" s="19">
        <f>SUM(C20:N20)</f>
        <v>14920000</v>
      </c>
    </row>
    <row r="21" spans="2:15" x14ac:dyDescent="0.3">
      <c r="B21" s="5" t="s">
        <v>16</v>
      </c>
      <c r="C21" s="20">
        <f t="shared" ref="C21:O21" si="7">SUM(C4:C20)</f>
        <v>13641222.390000001</v>
      </c>
      <c r="D21" s="20">
        <f t="shared" si="7"/>
        <v>16237203.846799999</v>
      </c>
      <c r="E21" s="20">
        <f t="shared" si="7"/>
        <v>27949214.178000003</v>
      </c>
      <c r="F21" s="20">
        <f t="shared" si="7"/>
        <v>26994693.390000001</v>
      </c>
      <c r="G21" s="20">
        <f t="shared" si="7"/>
        <v>18287994.890000001</v>
      </c>
      <c r="H21" s="20">
        <f t="shared" si="7"/>
        <v>32768565.942000002</v>
      </c>
      <c r="I21" s="20">
        <f t="shared" si="7"/>
        <v>38459526.328000002</v>
      </c>
      <c r="J21" s="20">
        <f t="shared" si="7"/>
        <v>20303065.18</v>
      </c>
      <c r="K21" s="20">
        <f t="shared" si="7"/>
        <v>35091294.886</v>
      </c>
      <c r="L21" s="20">
        <f t="shared" si="7"/>
        <v>35166014.604800001</v>
      </c>
      <c r="M21" s="20">
        <f t="shared" si="7"/>
        <v>21004788.390000001</v>
      </c>
      <c r="N21" s="20">
        <f t="shared" si="7"/>
        <v>64597783.020000003</v>
      </c>
      <c r="O21" s="20">
        <f t="shared" si="7"/>
        <v>350501367.0456</v>
      </c>
    </row>
    <row r="22" spans="2:15" x14ac:dyDescent="0.3">
      <c r="B22" s="1"/>
      <c r="C22" s="19"/>
      <c r="D22" s="19"/>
      <c r="E22" s="19"/>
      <c r="F22" s="19"/>
      <c r="G22" s="19"/>
      <c r="H22" s="19"/>
      <c r="I22" s="19"/>
      <c r="J22" s="19"/>
      <c r="K22" s="19"/>
      <c r="L22" s="19"/>
      <c r="M22" s="19"/>
      <c r="N22" s="19"/>
      <c r="O22" s="19"/>
    </row>
    <row r="23" spans="2:15" x14ac:dyDescent="0.3">
      <c r="B23" s="3" t="s">
        <v>20</v>
      </c>
      <c r="C23" s="19"/>
      <c r="D23" s="19"/>
      <c r="E23" s="19"/>
      <c r="F23" s="19"/>
      <c r="G23" s="19"/>
      <c r="H23" s="19"/>
      <c r="I23" s="19"/>
      <c r="J23" s="19"/>
      <c r="K23" s="19"/>
      <c r="L23" s="19"/>
      <c r="M23" s="19"/>
      <c r="N23" s="19"/>
      <c r="O23" s="19"/>
    </row>
    <row r="24" spans="2:15" x14ac:dyDescent="0.3">
      <c r="B24" s="9" t="s">
        <v>77</v>
      </c>
      <c r="C24" s="19">
        <f>201556+251945.5+99873+99873</f>
        <v>653247.5</v>
      </c>
      <c r="D24" s="19">
        <f>(99873*3)*2</f>
        <v>599238</v>
      </c>
      <c r="E24" s="19">
        <f>(99873*3)*3</f>
        <v>898857</v>
      </c>
      <c r="F24" s="19">
        <f>(99873*3)*3</f>
        <v>898857</v>
      </c>
      <c r="G24" s="19"/>
      <c r="H24" s="19">
        <v>7873232</v>
      </c>
      <c r="I24" s="19">
        <f>F24</f>
        <v>898857</v>
      </c>
      <c r="J24" s="19"/>
      <c r="K24" s="19"/>
      <c r="L24" s="19"/>
      <c r="M24" s="19"/>
      <c r="N24" s="19"/>
      <c r="O24" s="19">
        <f t="shared" ref="O24:O27" si="8">SUM(C24:N24)</f>
        <v>11822288.5</v>
      </c>
    </row>
    <row r="25" spans="2:15" x14ac:dyDescent="0.3">
      <c r="B25" s="9" t="s">
        <v>79</v>
      </c>
      <c r="C25" s="19">
        <v>2090710.61</v>
      </c>
      <c r="D25" s="19">
        <v>2183628.41</v>
      </c>
      <c r="E25" s="19">
        <v>2457084.41</v>
      </c>
      <c r="F25" s="19">
        <v>2954316.41</v>
      </c>
      <c r="G25" s="19"/>
      <c r="H25" s="19"/>
      <c r="I25" s="19">
        <v>3278316.41</v>
      </c>
      <c r="J25" s="19"/>
      <c r="K25" s="19"/>
      <c r="L25" s="19">
        <f>30/100*5613915.405+5613915.405</f>
        <v>7298090.0265000006</v>
      </c>
      <c r="M25" s="19"/>
      <c r="N25" s="19"/>
      <c r="O25" s="19">
        <f t="shared" si="8"/>
        <v>20262146.276500002</v>
      </c>
    </row>
    <row r="26" spans="2:15" x14ac:dyDescent="0.3">
      <c r="B26" s="9" t="s">
        <v>81</v>
      </c>
      <c r="C26" s="19"/>
      <c r="D26" s="19"/>
      <c r="E26" s="19"/>
      <c r="F26" s="19"/>
      <c r="G26" s="19">
        <f>30/100*353369.9+353369.9</f>
        <v>459380.87</v>
      </c>
      <c r="H26" s="19"/>
      <c r="I26" s="19"/>
      <c r="J26" s="19"/>
      <c r="K26" s="19"/>
      <c r="L26" s="19"/>
      <c r="M26" s="19"/>
      <c r="N26" s="19"/>
      <c r="O26" s="19">
        <f t="shared" si="8"/>
        <v>459380.87</v>
      </c>
    </row>
    <row r="27" spans="2:15" x14ac:dyDescent="0.3">
      <c r="B27" s="9" t="s">
        <v>83</v>
      </c>
      <c r="C27" s="19">
        <f>1000000+3299000</f>
        <v>4299000</v>
      </c>
      <c r="D27" s="19">
        <v>2363948.2200000002</v>
      </c>
      <c r="E27" s="19"/>
      <c r="F27" s="19"/>
      <c r="G27" s="19">
        <v>384000</v>
      </c>
      <c r="H27" s="42">
        <v>200000</v>
      </c>
      <c r="I27" s="19"/>
      <c r="J27" s="19"/>
      <c r="K27" s="19"/>
      <c r="L27" s="19">
        <v>400000</v>
      </c>
      <c r="M27" s="19">
        <v>650000</v>
      </c>
      <c r="N27" s="19">
        <f>2850000+5750000</f>
        <v>8600000</v>
      </c>
      <c r="O27" s="19">
        <f t="shared" si="8"/>
        <v>16896948.219999999</v>
      </c>
    </row>
    <row r="28" spans="2:15" x14ac:dyDescent="0.3">
      <c r="B28" s="5" t="s">
        <v>16</v>
      </c>
      <c r="C28" s="20">
        <f>SUM(C24:C27)</f>
        <v>7042958.1100000003</v>
      </c>
      <c r="D28" s="20">
        <f>SUM(D24:D27)</f>
        <v>5146814.6300000008</v>
      </c>
      <c r="E28" s="20">
        <f t="shared" ref="E28:H28" si="9">SUM(E24:E27)</f>
        <v>3355941.41</v>
      </c>
      <c r="F28" s="20">
        <f t="shared" si="9"/>
        <v>3853173.41</v>
      </c>
      <c r="G28" s="20">
        <f t="shared" si="9"/>
        <v>843380.87</v>
      </c>
      <c r="H28" s="20">
        <f t="shared" si="9"/>
        <v>8073232</v>
      </c>
      <c r="I28" s="20">
        <f>SUM(I24:I27)</f>
        <v>4177173.41</v>
      </c>
      <c r="J28" s="20">
        <f t="shared" ref="J28" si="10">SUM(J24:J27)</f>
        <v>0</v>
      </c>
      <c r="K28" s="20">
        <f t="shared" ref="K28" si="11">SUM(K24:K27)</f>
        <v>0</v>
      </c>
      <c r="L28" s="20">
        <f t="shared" ref="L28" si="12">SUM(L24:L27)</f>
        <v>7698090.0265000006</v>
      </c>
      <c r="M28" s="20">
        <f>SUM(M24:M27)</f>
        <v>650000</v>
      </c>
      <c r="N28" s="20">
        <f t="shared" ref="N28" si="13">SUM(N24:N27)</f>
        <v>8600000</v>
      </c>
      <c r="O28" s="20">
        <f t="shared" ref="O28" si="14">SUM(O24:O27)</f>
        <v>49440763.866500005</v>
      </c>
    </row>
    <row r="29" spans="2:15" x14ac:dyDescent="0.3">
      <c r="B29" s="1"/>
      <c r="C29" s="19"/>
      <c r="D29" s="19"/>
      <c r="E29" s="19"/>
      <c r="F29" s="19"/>
      <c r="G29" s="19"/>
      <c r="H29" s="19"/>
      <c r="I29" s="19"/>
      <c r="J29" s="19"/>
      <c r="K29" s="19"/>
      <c r="L29" s="19"/>
      <c r="M29" s="19"/>
      <c r="N29" s="19"/>
      <c r="O29" s="19"/>
    </row>
    <row r="30" spans="2:15" x14ac:dyDescent="0.3">
      <c r="B30" s="1"/>
      <c r="C30" s="19"/>
      <c r="D30" s="19"/>
      <c r="E30" s="19"/>
      <c r="F30" s="19"/>
      <c r="G30" s="19"/>
      <c r="H30" s="19"/>
      <c r="I30" s="19"/>
      <c r="J30" s="19"/>
      <c r="K30" s="19"/>
      <c r="L30" s="19"/>
      <c r="M30" s="19"/>
      <c r="N30" s="19"/>
      <c r="O30" s="19"/>
    </row>
    <row r="31" spans="2:15" x14ac:dyDescent="0.3">
      <c r="B31" s="3" t="s">
        <v>85</v>
      </c>
      <c r="C31" s="19"/>
      <c r="D31" s="19"/>
      <c r="E31" s="19"/>
      <c r="F31" s="19"/>
      <c r="G31" s="19"/>
      <c r="H31" s="19"/>
      <c r="I31" s="19"/>
      <c r="J31" s="19"/>
      <c r="K31" s="19"/>
      <c r="L31" s="19"/>
      <c r="M31" s="19"/>
      <c r="N31" s="19"/>
      <c r="O31" s="19"/>
    </row>
    <row r="32" spans="2:15" x14ac:dyDescent="0.3">
      <c r="B32" s="9" t="s">
        <v>86</v>
      </c>
      <c r="C32" s="19">
        <f>303333.3+100000</f>
        <v>403333.3</v>
      </c>
      <c r="D32" s="19">
        <f>303333.3+100000</f>
        <v>403333.3</v>
      </c>
      <c r="E32" s="19">
        <f>303333.3+100000</f>
        <v>403333.3</v>
      </c>
      <c r="F32" s="19">
        <f>$E32*(24.98/100)+$E32</f>
        <v>504085.95834000001</v>
      </c>
      <c r="G32" s="19">
        <f t="shared" ref="G32:H32" si="15">$E32*(24.98/100)+$E32</f>
        <v>504085.95834000001</v>
      </c>
      <c r="H32" s="19">
        <f t="shared" si="15"/>
        <v>504085.95834000001</v>
      </c>
      <c r="I32" s="19">
        <f>$H32*(24.98/100)+$H32</f>
        <v>630006.63073333201</v>
      </c>
      <c r="J32" s="19">
        <f t="shared" ref="J32:K32" si="16">$H32*(24.98/100)+$H32</f>
        <v>630006.63073333201</v>
      </c>
      <c r="K32" s="19">
        <f t="shared" si="16"/>
        <v>630006.63073333201</v>
      </c>
      <c r="L32" s="19">
        <f>$K32*(24.98/100)+$K32</f>
        <v>787382.28709051828</v>
      </c>
      <c r="M32" s="19">
        <f t="shared" ref="M32:N32" si="17">$K32*(24.98/100)+$K32</f>
        <v>787382.28709051828</v>
      </c>
      <c r="N32" s="19">
        <f t="shared" si="17"/>
        <v>787382.28709051828</v>
      </c>
      <c r="O32" s="19">
        <f>SUM(C32:N32)</f>
        <v>6974424.5284915511</v>
      </c>
    </row>
    <row r="33" spans="2:15" x14ac:dyDescent="0.3">
      <c r="B33" s="9" t="s">
        <v>88</v>
      </c>
      <c r="C33" s="44">
        <f>350000*4</f>
        <v>1400000</v>
      </c>
      <c r="D33" s="44">
        <f t="shared" ref="D33" si="18">350000*4</f>
        <v>1400000</v>
      </c>
      <c r="E33" s="44">
        <f>350000*5</f>
        <v>1750000</v>
      </c>
      <c r="F33" s="19">
        <f>$E33*1.3</f>
        <v>2275000</v>
      </c>
      <c r="G33" s="19">
        <f t="shared" ref="G33:N33" si="19">$E33*1.3</f>
        <v>2275000</v>
      </c>
      <c r="H33" s="19">
        <f t="shared" si="19"/>
        <v>2275000</v>
      </c>
      <c r="I33" s="19">
        <f t="shared" si="19"/>
        <v>2275000</v>
      </c>
      <c r="J33" s="19">
        <f t="shared" si="19"/>
        <v>2275000</v>
      </c>
      <c r="K33" s="19">
        <f t="shared" si="19"/>
        <v>2275000</v>
      </c>
      <c r="L33" s="19">
        <f t="shared" si="19"/>
        <v>2275000</v>
      </c>
      <c r="M33" s="19">
        <f t="shared" si="19"/>
        <v>2275000</v>
      </c>
      <c r="N33" s="19">
        <f t="shared" si="19"/>
        <v>2275000</v>
      </c>
      <c r="O33" s="19">
        <f t="shared" ref="O33:O34" si="20">SUM(C33:N33)</f>
        <v>25025000</v>
      </c>
    </row>
    <row r="34" spans="2:15" x14ac:dyDescent="0.3">
      <c r="B34" s="9" t="s">
        <v>90</v>
      </c>
      <c r="C34" s="19">
        <f>(100000*4)+162000</f>
        <v>562000</v>
      </c>
      <c r="D34" s="19">
        <f>(100000*4)+108000</f>
        <v>508000</v>
      </c>
      <c r="E34" s="19">
        <f t="shared" ref="E34:F34" si="21">(100000*4)+108000</f>
        <v>508000</v>
      </c>
      <c r="F34" s="19">
        <f t="shared" si="21"/>
        <v>508000</v>
      </c>
      <c r="G34" s="19">
        <f t="shared" ref="G34:N34" si="22">100000*4</f>
        <v>400000</v>
      </c>
      <c r="H34" s="19">
        <f t="shared" si="22"/>
        <v>400000</v>
      </c>
      <c r="I34" s="19">
        <f>(100000*4)+108000</f>
        <v>508000</v>
      </c>
      <c r="J34" s="19">
        <f t="shared" si="22"/>
        <v>400000</v>
      </c>
      <c r="K34" s="19">
        <f t="shared" si="22"/>
        <v>400000</v>
      </c>
      <c r="L34" s="19">
        <f t="shared" si="22"/>
        <v>400000</v>
      </c>
      <c r="M34" s="19">
        <f t="shared" si="22"/>
        <v>400000</v>
      </c>
      <c r="N34" s="19">
        <f t="shared" si="22"/>
        <v>400000</v>
      </c>
      <c r="O34" s="19">
        <f t="shared" si="20"/>
        <v>5394000</v>
      </c>
    </row>
    <row r="35" spans="2:15" x14ac:dyDescent="0.3">
      <c r="B35" s="5" t="s">
        <v>16</v>
      </c>
      <c r="C35" s="20">
        <f>SUM(C32:C34)</f>
        <v>2365333.2999999998</v>
      </c>
      <c r="D35" s="20">
        <f t="shared" ref="D35:I35" si="23">SUM(D32:D34)</f>
        <v>2311333.2999999998</v>
      </c>
      <c r="E35" s="20">
        <f t="shared" si="23"/>
        <v>2661333.2999999998</v>
      </c>
      <c r="F35" s="20">
        <f t="shared" si="23"/>
        <v>3287085.9583399999</v>
      </c>
      <c r="G35" s="20">
        <f t="shared" si="23"/>
        <v>3179085.9583399999</v>
      </c>
      <c r="H35" s="20">
        <f t="shared" si="23"/>
        <v>3179085.9583399999</v>
      </c>
      <c r="I35" s="20">
        <f t="shared" si="23"/>
        <v>3413006.6307333321</v>
      </c>
      <c r="J35" s="20">
        <f>SUM(J32:J34)</f>
        <v>3305006.6307333321</v>
      </c>
      <c r="K35" s="20">
        <f t="shared" ref="K35" si="24">SUM(K32:K34)</f>
        <v>3305006.6307333321</v>
      </c>
      <c r="L35" s="20">
        <f t="shared" ref="L35" si="25">SUM(L32:L34)</f>
        <v>3462382.2870905185</v>
      </c>
      <c r="M35" s="20">
        <f t="shared" ref="M35" si="26">SUM(M32:M34)</f>
        <v>3462382.2870905185</v>
      </c>
      <c r="N35" s="20">
        <f t="shared" ref="N35" si="27">SUM(N32:N34)</f>
        <v>3462382.2870905185</v>
      </c>
      <c r="O35" s="20">
        <f t="shared" ref="O35" si="28">SUM(O32:O34)</f>
        <v>37393424.528491549</v>
      </c>
    </row>
    <row r="36" spans="2:15" x14ac:dyDescent="0.3">
      <c r="B36" s="1"/>
      <c r="C36" s="19"/>
      <c r="D36" s="19"/>
      <c r="E36" s="19"/>
      <c r="F36" s="19"/>
      <c r="G36" s="19"/>
      <c r="H36" s="19"/>
      <c r="I36" s="19"/>
      <c r="J36" s="19"/>
      <c r="K36" s="19"/>
      <c r="L36" s="19"/>
      <c r="M36" s="19"/>
      <c r="N36" s="19"/>
      <c r="O36" s="19"/>
    </row>
    <row r="37" spans="2:15" x14ac:dyDescent="0.3">
      <c r="B37" s="1"/>
      <c r="C37" s="19"/>
      <c r="D37" s="19"/>
      <c r="E37" s="19"/>
      <c r="F37" s="19"/>
      <c r="G37" s="19"/>
      <c r="H37" s="19"/>
      <c r="I37" s="19"/>
      <c r="J37" s="19"/>
      <c r="K37" s="19"/>
      <c r="L37" s="19"/>
      <c r="M37" s="19"/>
      <c r="N37" s="19"/>
      <c r="O37" s="19"/>
    </row>
    <row r="38" spans="2:15" x14ac:dyDescent="0.3">
      <c r="B38" s="3" t="s">
        <v>21</v>
      </c>
      <c r="C38" s="19"/>
      <c r="D38" s="19"/>
      <c r="E38" s="19"/>
      <c r="F38" s="19"/>
      <c r="G38" s="19"/>
      <c r="H38" s="19"/>
      <c r="I38" s="19"/>
      <c r="J38" s="19"/>
      <c r="K38" s="19"/>
      <c r="L38" s="19"/>
      <c r="M38" s="19"/>
      <c r="N38" s="19"/>
      <c r="O38" s="19"/>
    </row>
    <row r="39" spans="2:15" x14ac:dyDescent="0.3">
      <c r="B39" s="9" t="s">
        <v>92</v>
      </c>
      <c r="C39" s="19">
        <v>300000</v>
      </c>
      <c r="D39" s="19">
        <v>300000</v>
      </c>
      <c r="E39" s="19">
        <v>300000</v>
      </c>
      <c r="F39" s="19">
        <v>500000</v>
      </c>
      <c r="G39" s="19">
        <v>500000</v>
      </c>
      <c r="H39" s="19">
        <v>500000</v>
      </c>
      <c r="I39" s="19">
        <v>500000</v>
      </c>
      <c r="J39" s="19">
        <v>500000</v>
      </c>
      <c r="K39" s="19">
        <v>500000</v>
      </c>
      <c r="L39" s="19">
        <v>750000</v>
      </c>
      <c r="M39" s="19">
        <v>750000</v>
      </c>
      <c r="N39" s="19">
        <v>750000</v>
      </c>
      <c r="O39" s="19">
        <f t="shared" ref="O39:O40" si="29">SUM(C39:N39)</f>
        <v>6150000</v>
      </c>
    </row>
    <row r="40" spans="2:15" x14ac:dyDescent="0.3">
      <c r="B40" s="9" t="s">
        <v>94</v>
      </c>
      <c r="C40" s="19">
        <v>105000</v>
      </c>
      <c r="D40" s="19"/>
      <c r="E40" s="19">
        <v>21000</v>
      </c>
      <c r="F40" s="19"/>
      <c r="G40" s="19"/>
      <c r="H40" s="19"/>
      <c r="I40" s="19"/>
      <c r="J40" s="19">
        <v>42000</v>
      </c>
      <c r="K40" s="19"/>
      <c r="L40" s="19">
        <f>16500+4500</f>
        <v>21000</v>
      </c>
      <c r="M40" s="19">
        <v>42000</v>
      </c>
      <c r="N40" s="19"/>
      <c r="O40" s="19">
        <f t="shared" si="29"/>
        <v>231000</v>
      </c>
    </row>
    <row r="41" spans="2:15" x14ac:dyDescent="0.3">
      <c r="B41" s="9" t="s">
        <v>141</v>
      </c>
      <c r="C41" s="19"/>
      <c r="D41" s="19"/>
      <c r="E41" s="19">
        <v>300000</v>
      </c>
      <c r="F41" s="19"/>
      <c r="G41" s="19"/>
      <c r="H41" s="19">
        <v>300000</v>
      </c>
      <c r="I41" s="19"/>
      <c r="J41" s="19"/>
      <c r="K41" s="19">
        <v>500000</v>
      </c>
      <c r="L41" s="19"/>
      <c r="M41" s="19"/>
      <c r="N41" s="19">
        <v>1000000</v>
      </c>
      <c r="O41" s="19">
        <f>SUM(C41:N41)</f>
        <v>2100000</v>
      </c>
    </row>
    <row r="42" spans="2:15" x14ac:dyDescent="0.3">
      <c r="B42" s="5" t="s">
        <v>16</v>
      </c>
      <c r="C42" s="20">
        <f>SUM(C38:C41)</f>
        <v>405000</v>
      </c>
      <c r="D42" s="20">
        <f t="shared" ref="D42:N42" si="30">SUM(D38:D41)</f>
        <v>300000</v>
      </c>
      <c r="E42" s="20">
        <f t="shared" si="30"/>
        <v>621000</v>
      </c>
      <c r="F42" s="20">
        <f t="shared" si="30"/>
        <v>500000</v>
      </c>
      <c r="G42" s="20">
        <f t="shared" si="30"/>
        <v>500000</v>
      </c>
      <c r="H42" s="20">
        <f t="shared" si="30"/>
        <v>800000</v>
      </c>
      <c r="I42" s="20">
        <f t="shared" si="30"/>
        <v>500000</v>
      </c>
      <c r="J42" s="20">
        <f t="shared" si="30"/>
        <v>542000</v>
      </c>
      <c r="K42" s="20">
        <f t="shared" si="30"/>
        <v>1000000</v>
      </c>
      <c r="L42" s="20">
        <f t="shared" si="30"/>
        <v>771000</v>
      </c>
      <c r="M42" s="20">
        <f t="shared" si="30"/>
        <v>792000</v>
      </c>
      <c r="N42" s="20">
        <f t="shared" si="30"/>
        <v>1750000</v>
      </c>
      <c r="O42" s="20">
        <f t="shared" ref="O42" si="31">SUM(O39:O41)</f>
        <v>8481000</v>
      </c>
    </row>
    <row r="43" spans="2:15" x14ac:dyDescent="0.3">
      <c r="B43" s="1"/>
      <c r="C43" s="19"/>
      <c r="D43" s="19"/>
      <c r="E43" s="19"/>
      <c r="F43" s="19"/>
      <c r="G43" s="19"/>
      <c r="H43" s="19"/>
      <c r="I43" s="19"/>
      <c r="J43" s="19"/>
      <c r="K43" s="19"/>
      <c r="L43" s="19"/>
      <c r="M43" s="19"/>
      <c r="N43" s="19"/>
      <c r="O43" s="19"/>
    </row>
    <row r="44" spans="2:15" x14ac:dyDescent="0.3">
      <c r="B44" s="1"/>
      <c r="C44" s="19"/>
      <c r="D44" s="19"/>
      <c r="E44" s="19"/>
      <c r="F44" s="19"/>
      <c r="G44" s="19"/>
      <c r="H44" s="19"/>
      <c r="I44" s="19"/>
      <c r="J44" s="19"/>
      <c r="K44" s="19"/>
      <c r="L44" s="19"/>
      <c r="M44" s="19"/>
      <c r="N44" s="19"/>
      <c r="O44" s="19"/>
    </row>
    <row r="45" spans="2:15" x14ac:dyDescent="0.3">
      <c r="B45" s="3" t="s">
        <v>98</v>
      </c>
      <c r="C45" s="19"/>
      <c r="D45" s="19"/>
      <c r="E45" s="19"/>
      <c r="F45" s="19"/>
      <c r="G45" s="19"/>
      <c r="H45" s="19"/>
      <c r="I45" s="19"/>
      <c r="J45" s="19"/>
      <c r="K45" s="19"/>
      <c r="L45" s="19"/>
      <c r="M45" s="19"/>
      <c r="N45" s="19"/>
      <c r="O45" s="19"/>
    </row>
    <row r="46" spans="2:15" x14ac:dyDescent="0.3">
      <c r="B46" s="9" t="s">
        <v>99</v>
      </c>
      <c r="C46" s="19"/>
      <c r="D46" s="19"/>
      <c r="E46" s="19">
        <v>30000000</v>
      </c>
      <c r="F46" s="19"/>
      <c r="G46" s="19"/>
      <c r="H46" s="19">
        <v>17199000</v>
      </c>
      <c r="I46" s="19"/>
      <c r="J46" s="14"/>
      <c r="K46" s="19"/>
      <c r="L46" s="19"/>
      <c r="M46" s="19"/>
      <c r="N46" s="19"/>
      <c r="O46" s="19">
        <f t="shared" ref="O46:O48" si="32">SUM(C46:N46)</f>
        <v>47199000</v>
      </c>
    </row>
    <row r="47" spans="2:15" x14ac:dyDescent="0.3">
      <c r="B47" s="9" t="s">
        <v>101</v>
      </c>
      <c r="C47" s="19"/>
      <c r="D47" s="19"/>
      <c r="E47" s="19">
        <v>2500000</v>
      </c>
      <c r="F47" s="19"/>
      <c r="G47" s="19"/>
      <c r="H47" s="19">
        <v>1782656.78</v>
      </c>
      <c r="I47" s="19"/>
      <c r="J47" s="19"/>
      <c r="K47" s="19"/>
      <c r="L47" s="19"/>
      <c r="M47" s="19"/>
      <c r="N47" s="19"/>
      <c r="O47" s="19">
        <f t="shared" si="32"/>
        <v>4282656.78</v>
      </c>
    </row>
    <row r="48" spans="2:15" x14ac:dyDescent="0.3">
      <c r="B48" s="9" t="s">
        <v>145</v>
      </c>
      <c r="C48" s="19"/>
      <c r="D48" s="19"/>
      <c r="E48" s="19">
        <f>800000*3</f>
        <v>2400000</v>
      </c>
      <c r="F48" s="19"/>
      <c r="G48" s="19"/>
      <c r="H48" s="19">
        <f>E48*1.2</f>
        <v>2880000</v>
      </c>
      <c r="I48" s="19"/>
      <c r="J48" s="19"/>
      <c r="K48" s="19">
        <f>H48*1.2</f>
        <v>3456000</v>
      </c>
      <c r="L48" s="19"/>
      <c r="M48" s="19"/>
      <c r="N48" s="19">
        <f>K48*1.3</f>
        <v>4492800</v>
      </c>
      <c r="O48" s="19">
        <f t="shared" si="32"/>
        <v>13228800</v>
      </c>
    </row>
    <row r="49" spans="2:15" x14ac:dyDescent="0.3">
      <c r="B49" s="5" t="s">
        <v>16</v>
      </c>
      <c r="C49" s="20">
        <f>SUM(C46:C48)</f>
        <v>0</v>
      </c>
      <c r="D49" s="20">
        <f t="shared" ref="D49:N49" si="33">SUM(D46:D48)</f>
        <v>0</v>
      </c>
      <c r="E49" s="20">
        <f t="shared" si="33"/>
        <v>34900000</v>
      </c>
      <c r="F49" s="20">
        <f t="shared" si="33"/>
        <v>0</v>
      </c>
      <c r="G49" s="20">
        <f t="shared" si="33"/>
        <v>0</v>
      </c>
      <c r="H49" s="20">
        <f t="shared" si="33"/>
        <v>21861656.780000001</v>
      </c>
      <c r="I49" s="20">
        <f t="shared" si="33"/>
        <v>0</v>
      </c>
      <c r="J49" s="20">
        <f t="shared" si="33"/>
        <v>0</v>
      </c>
      <c r="K49" s="20">
        <f t="shared" si="33"/>
        <v>3456000</v>
      </c>
      <c r="L49" s="20">
        <f t="shared" si="33"/>
        <v>0</v>
      </c>
      <c r="M49" s="20">
        <f t="shared" si="33"/>
        <v>0</v>
      </c>
      <c r="N49" s="20">
        <f t="shared" si="33"/>
        <v>4492800</v>
      </c>
      <c r="O49" s="20">
        <f>SUM(O46:O48)</f>
        <v>64710456.780000001</v>
      </c>
    </row>
    <row r="50" spans="2:15" x14ac:dyDescent="0.3">
      <c r="B50" s="1"/>
      <c r="C50" s="19"/>
      <c r="D50" s="19"/>
      <c r="E50" s="19"/>
      <c r="F50" s="19"/>
      <c r="G50" s="19"/>
      <c r="H50" s="19"/>
      <c r="I50" s="19"/>
      <c r="J50" s="19"/>
      <c r="K50" s="19"/>
      <c r="L50" s="19"/>
      <c r="M50" s="19"/>
      <c r="N50" s="19"/>
      <c r="O50" s="19"/>
    </row>
    <row r="51" spans="2:15" x14ac:dyDescent="0.3">
      <c r="B51" s="1"/>
      <c r="C51" s="19"/>
      <c r="D51" s="19"/>
      <c r="E51" s="19"/>
      <c r="F51" s="19"/>
      <c r="G51" s="19"/>
      <c r="H51" s="19"/>
      <c r="I51" s="19"/>
      <c r="J51" s="19"/>
      <c r="K51" s="19"/>
      <c r="L51" s="19"/>
      <c r="M51" s="19"/>
      <c r="N51" s="19"/>
      <c r="O51" s="19"/>
    </row>
    <row r="52" spans="2:15" x14ac:dyDescent="0.3">
      <c r="B52" s="3" t="s">
        <v>105</v>
      </c>
      <c r="C52" s="19"/>
      <c r="D52" s="19"/>
      <c r="E52" s="19"/>
      <c r="F52" s="19"/>
      <c r="G52" s="19"/>
      <c r="H52" s="19"/>
      <c r="I52" s="19"/>
      <c r="J52" s="19"/>
      <c r="K52" s="19"/>
      <c r="L52" s="19"/>
      <c r="M52" s="19"/>
      <c r="N52" s="19"/>
      <c r="O52" s="19"/>
    </row>
    <row r="53" spans="2:15" x14ac:dyDescent="0.3">
      <c r="B53" s="9" t="s">
        <v>106</v>
      </c>
      <c r="C53" s="21">
        <f>40000*1</f>
        <v>40000</v>
      </c>
      <c r="D53" s="19">
        <f>40000*1</f>
        <v>40000</v>
      </c>
      <c r="E53" s="19">
        <f>40000*6</f>
        <v>240000</v>
      </c>
      <c r="F53" s="19">
        <f>40000*1</f>
        <v>40000</v>
      </c>
      <c r="G53" s="19">
        <f>40000*2</f>
        <v>80000</v>
      </c>
      <c r="H53" s="19">
        <f>40000*2</f>
        <v>80000</v>
      </c>
      <c r="I53" s="19">
        <f>40000*2</f>
        <v>80000</v>
      </c>
      <c r="J53" s="19">
        <f>(40000*2)+200000</f>
        <v>280000</v>
      </c>
      <c r="K53" s="19">
        <f>40000*10</f>
        <v>400000</v>
      </c>
      <c r="L53" s="19">
        <f>40000*3</f>
        <v>120000</v>
      </c>
      <c r="M53" s="19">
        <f>400000*1</f>
        <v>400000</v>
      </c>
      <c r="N53" s="19">
        <f>40000*2</f>
        <v>80000</v>
      </c>
      <c r="O53" s="19">
        <f>SUM(C53:N53)</f>
        <v>1880000</v>
      </c>
    </row>
    <row r="54" spans="2:15" x14ac:dyDescent="0.3">
      <c r="B54" s="5" t="s">
        <v>16</v>
      </c>
      <c r="C54" s="20">
        <f>SUM(C53)</f>
        <v>40000</v>
      </c>
      <c r="D54" s="20">
        <f t="shared" ref="D54:N54" si="34">SUM(D53)</f>
        <v>40000</v>
      </c>
      <c r="E54" s="20">
        <f t="shared" si="34"/>
        <v>240000</v>
      </c>
      <c r="F54" s="20">
        <f t="shared" si="34"/>
        <v>40000</v>
      </c>
      <c r="G54" s="20">
        <f t="shared" si="34"/>
        <v>80000</v>
      </c>
      <c r="H54" s="20">
        <f t="shared" si="34"/>
        <v>80000</v>
      </c>
      <c r="I54" s="20">
        <f t="shared" si="34"/>
        <v>80000</v>
      </c>
      <c r="J54" s="20">
        <f t="shared" si="34"/>
        <v>280000</v>
      </c>
      <c r="K54" s="20">
        <f>SUM(K53)</f>
        <v>400000</v>
      </c>
      <c r="L54" s="20">
        <f>SUM(L53)</f>
        <v>120000</v>
      </c>
      <c r="M54" s="20">
        <f t="shared" si="34"/>
        <v>400000</v>
      </c>
      <c r="N54" s="20">
        <f t="shared" si="34"/>
        <v>80000</v>
      </c>
      <c r="O54" s="20">
        <f t="shared" ref="O54" si="35">SUM(O53:O53)</f>
        <v>1880000</v>
      </c>
    </row>
    <row r="55" spans="2:15" x14ac:dyDescent="0.3">
      <c r="B55" s="1"/>
      <c r="C55" s="19"/>
      <c r="D55" s="19"/>
      <c r="E55" s="19"/>
      <c r="F55" s="19"/>
      <c r="G55" s="19"/>
      <c r="H55" s="19"/>
      <c r="I55" s="19"/>
      <c r="J55" s="19"/>
      <c r="K55" s="19"/>
      <c r="L55" s="19"/>
      <c r="M55" s="19"/>
      <c r="N55" s="19"/>
      <c r="O55" s="19"/>
    </row>
    <row r="56" spans="2:15" x14ac:dyDescent="0.3">
      <c r="B56" s="3" t="s">
        <v>108</v>
      </c>
      <c r="C56" s="19"/>
      <c r="D56" s="19"/>
      <c r="E56" s="19"/>
      <c r="F56" s="19"/>
      <c r="G56" s="19"/>
      <c r="H56" s="19"/>
      <c r="I56" s="19"/>
      <c r="J56" s="19"/>
      <c r="K56" s="19"/>
      <c r="L56" s="19"/>
      <c r="M56" s="19"/>
      <c r="N56" s="19"/>
      <c r="O56" s="19"/>
    </row>
    <row r="57" spans="2:15" x14ac:dyDescent="0.3">
      <c r="B57" s="9" t="s">
        <v>109</v>
      </c>
      <c r="C57" s="19">
        <v>200000</v>
      </c>
      <c r="D57" s="19">
        <v>200000</v>
      </c>
      <c r="E57" s="19">
        <f>200000+(200000*0.35)</f>
        <v>270000</v>
      </c>
      <c r="F57" s="19">
        <v>200000</v>
      </c>
      <c r="G57" s="19">
        <v>200000</v>
      </c>
      <c r="H57" s="19">
        <f>200000+(200000*0.35)</f>
        <v>270000</v>
      </c>
      <c r="I57" s="19">
        <v>200000</v>
      </c>
      <c r="J57" s="19">
        <v>200000</v>
      </c>
      <c r="K57" s="19">
        <f>200000+(200000*0.35)</f>
        <v>270000</v>
      </c>
      <c r="L57" s="19">
        <v>200000</v>
      </c>
      <c r="M57" s="19">
        <v>200000</v>
      </c>
      <c r="N57" s="19">
        <f>200000+(200000*0.35)</f>
        <v>270000</v>
      </c>
      <c r="O57" s="19">
        <f>SUM(C57:N57)</f>
        <v>2680000</v>
      </c>
    </row>
    <row r="58" spans="2:15" x14ac:dyDescent="0.3">
      <c r="B58" s="9" t="s">
        <v>206</v>
      </c>
      <c r="C58" s="19">
        <v>2000000</v>
      </c>
      <c r="D58" s="19">
        <v>2000000</v>
      </c>
      <c r="E58" s="19">
        <v>2000000</v>
      </c>
      <c r="F58" s="19">
        <f>$E58*(24.98/100)+$E58</f>
        <v>2499600</v>
      </c>
      <c r="G58" s="19">
        <f t="shared" ref="G58:H58" si="36">$E58*(24.98/100)+$E58</f>
        <v>2499600</v>
      </c>
      <c r="H58" s="19">
        <f t="shared" si="36"/>
        <v>2499600</v>
      </c>
      <c r="I58" s="19">
        <f>H58*(24.98/100)+H58</f>
        <v>3124000.08</v>
      </c>
      <c r="J58" s="19">
        <f t="shared" ref="J58:K58" si="37">I58*(24.98/100)+I58</f>
        <v>3904375.2999840002</v>
      </c>
      <c r="K58" s="19">
        <f t="shared" si="37"/>
        <v>4879688.2499200031</v>
      </c>
      <c r="L58" s="19">
        <f>$K58*(24.98/100)+$K58</f>
        <v>6098634.37475002</v>
      </c>
      <c r="M58" s="19">
        <f t="shared" ref="M58:N58" si="38">$K58*(24.98/100)+$K58</f>
        <v>6098634.37475002</v>
      </c>
      <c r="N58" s="19">
        <f t="shared" si="38"/>
        <v>6098634.37475002</v>
      </c>
      <c r="O58" s="23">
        <f t="shared" ref="O58:O60" si="39">SUM(C58:N58)</f>
        <v>43702766.754154056</v>
      </c>
    </row>
    <row r="59" spans="2:15" x14ac:dyDescent="0.3">
      <c r="B59" s="9" t="s">
        <v>146</v>
      </c>
      <c r="C59" s="19">
        <f>(100000*4)+200000</f>
        <v>600000</v>
      </c>
      <c r="D59" s="19">
        <f>(100000*6)+200000</f>
        <v>800000</v>
      </c>
      <c r="E59" s="19">
        <f t="shared" ref="E59:G59" si="40">(100000*6)+200000</f>
        <v>800000</v>
      </c>
      <c r="F59" s="19">
        <f t="shared" si="40"/>
        <v>800000</v>
      </c>
      <c r="G59" s="19">
        <f t="shared" si="40"/>
        <v>800000</v>
      </c>
      <c r="H59" s="19">
        <f>(100000*6)+200000</f>
        <v>800000</v>
      </c>
      <c r="I59" s="19">
        <f t="shared" ref="I59:N59" si="41">(100000*6)+200000</f>
        <v>800000</v>
      </c>
      <c r="J59" s="19">
        <f t="shared" si="41"/>
        <v>800000</v>
      </c>
      <c r="K59" s="19">
        <f t="shared" si="41"/>
        <v>800000</v>
      </c>
      <c r="L59" s="19">
        <f t="shared" si="41"/>
        <v>800000</v>
      </c>
      <c r="M59" s="19">
        <f t="shared" si="41"/>
        <v>800000</v>
      </c>
      <c r="N59" s="19">
        <f t="shared" si="41"/>
        <v>800000</v>
      </c>
      <c r="O59" s="23">
        <f>SUM(I59:N59)</f>
        <v>4800000</v>
      </c>
    </row>
    <row r="60" spans="2:15" x14ac:dyDescent="0.3">
      <c r="B60" s="9" t="s">
        <v>148</v>
      </c>
      <c r="C60" s="19">
        <v>226000</v>
      </c>
      <c r="D60" s="19">
        <v>226000</v>
      </c>
      <c r="E60" s="19">
        <v>226000</v>
      </c>
      <c r="F60" s="19">
        <f>$E60+($E60*0.3)</f>
        <v>293800</v>
      </c>
      <c r="G60" s="19">
        <f t="shared" ref="G60:H60" si="42">$E60+($E60*0.3)</f>
        <v>293800</v>
      </c>
      <c r="H60" s="19">
        <f t="shared" si="42"/>
        <v>293800</v>
      </c>
      <c r="I60" s="19">
        <f>$H60+($H60*0.3)</f>
        <v>381940</v>
      </c>
      <c r="J60" s="19">
        <f t="shared" ref="J60:K60" si="43">$H60+($H60*0.3)</f>
        <v>381940</v>
      </c>
      <c r="K60" s="19">
        <f t="shared" si="43"/>
        <v>381940</v>
      </c>
      <c r="L60" s="19">
        <f>$K60+($K60*0.3)</f>
        <v>496522</v>
      </c>
      <c r="M60" s="19">
        <f t="shared" ref="M60:N60" si="44">$K60+($K60*0.3)</f>
        <v>496522</v>
      </c>
      <c r="N60" s="19">
        <f t="shared" si="44"/>
        <v>496522</v>
      </c>
      <c r="O60" s="19">
        <f t="shared" si="39"/>
        <v>4194786</v>
      </c>
    </row>
    <row r="61" spans="2:15" x14ac:dyDescent="0.3">
      <c r="B61" s="5" t="s">
        <v>16</v>
      </c>
      <c r="C61" s="20">
        <f t="shared" ref="C61:O61" si="45">SUM(C57:C59)</f>
        <v>2800000</v>
      </c>
      <c r="D61" s="20">
        <f t="shared" si="45"/>
        <v>3000000</v>
      </c>
      <c r="E61" s="20">
        <f t="shared" si="45"/>
        <v>3070000</v>
      </c>
      <c r="F61" s="20">
        <f t="shared" si="45"/>
        <v>3499600</v>
      </c>
      <c r="G61" s="20">
        <f t="shared" si="45"/>
        <v>3499600</v>
      </c>
      <c r="H61" s="20">
        <f t="shared" si="45"/>
        <v>3569600</v>
      </c>
      <c r="I61" s="20">
        <f t="shared" si="45"/>
        <v>4124000.08</v>
      </c>
      <c r="J61" s="20">
        <f t="shared" si="45"/>
        <v>4904375.2999840006</v>
      </c>
      <c r="K61" s="20">
        <f t="shared" si="45"/>
        <v>5949688.2499200031</v>
      </c>
      <c r="L61" s="20">
        <f t="shared" si="45"/>
        <v>7098634.37475002</v>
      </c>
      <c r="M61" s="20">
        <f t="shared" si="45"/>
        <v>7098634.37475002</v>
      </c>
      <c r="N61" s="20">
        <f t="shared" si="45"/>
        <v>7168634.37475002</v>
      </c>
      <c r="O61" s="20">
        <f t="shared" si="45"/>
        <v>51182766.754154056</v>
      </c>
    </row>
    <row r="62" spans="2:15" x14ac:dyDescent="0.3">
      <c r="B62" s="1"/>
      <c r="C62" s="19"/>
      <c r="D62" s="19"/>
      <c r="E62" s="19"/>
      <c r="F62" s="19"/>
      <c r="G62" s="19"/>
      <c r="H62" s="19"/>
      <c r="I62" s="19"/>
      <c r="J62" s="19"/>
      <c r="K62" s="19"/>
      <c r="L62" s="19"/>
      <c r="M62" s="19"/>
      <c r="N62" s="19"/>
      <c r="O62" s="19"/>
    </row>
    <row r="63" spans="2:15" x14ac:dyDescent="0.3">
      <c r="B63" s="3" t="s">
        <v>24</v>
      </c>
      <c r="C63" s="19"/>
      <c r="D63" s="19"/>
      <c r="E63" s="22"/>
      <c r="F63" s="19"/>
      <c r="G63" s="19"/>
      <c r="H63" s="19"/>
      <c r="I63" s="19"/>
      <c r="J63" s="19"/>
      <c r="K63" s="19"/>
      <c r="L63" s="19"/>
      <c r="M63" s="19"/>
      <c r="N63" s="19"/>
      <c r="O63" s="19"/>
    </row>
    <row r="64" spans="2:15" x14ac:dyDescent="0.3">
      <c r="B64" s="9" t="s">
        <v>115</v>
      </c>
      <c r="C64" s="19">
        <f>39000*23</f>
        <v>897000</v>
      </c>
      <c r="D64" s="19">
        <f>39000*25</f>
        <v>975000</v>
      </c>
      <c r="E64" s="19">
        <f>39000*28</f>
        <v>1092000</v>
      </c>
      <c r="F64" s="19">
        <f>39000*31</f>
        <v>1209000</v>
      </c>
      <c r="G64" s="19">
        <f t="shared" ref="G64:H64" si="46">39000*31</f>
        <v>1209000</v>
      </c>
      <c r="H64" s="19">
        <f t="shared" si="46"/>
        <v>1209000</v>
      </c>
      <c r="I64" s="19">
        <f>39000*34</f>
        <v>1326000</v>
      </c>
      <c r="J64" s="19">
        <f t="shared" ref="J64:N64" si="47">39000*34</f>
        <v>1326000</v>
      </c>
      <c r="K64" s="19">
        <f t="shared" si="47"/>
        <v>1326000</v>
      </c>
      <c r="L64" s="19">
        <f t="shared" si="47"/>
        <v>1326000</v>
      </c>
      <c r="M64" s="19">
        <f t="shared" si="47"/>
        <v>1326000</v>
      </c>
      <c r="N64" s="19">
        <f t="shared" si="47"/>
        <v>1326000</v>
      </c>
      <c r="O64" s="19">
        <f>SUM(C64:N64)</f>
        <v>14547000</v>
      </c>
    </row>
    <row r="65" spans="2:15" x14ac:dyDescent="0.3">
      <c r="B65" s="9" t="s">
        <v>117</v>
      </c>
      <c r="C65" s="19"/>
      <c r="D65" s="19"/>
      <c r="E65" s="19">
        <f>45000*37</f>
        <v>1665000</v>
      </c>
      <c r="F65" s="19"/>
      <c r="G65" s="19"/>
      <c r="H65" s="19">
        <f>45000*41</f>
        <v>1845000</v>
      </c>
      <c r="I65" s="19"/>
      <c r="J65" s="19"/>
      <c r="K65" s="19">
        <f>45000*44</f>
        <v>1980000</v>
      </c>
      <c r="L65" s="19"/>
      <c r="M65" s="19"/>
      <c r="N65" s="19"/>
      <c r="O65" s="19">
        <f t="shared" ref="O65" si="48">SUM(C65:N65)</f>
        <v>5490000</v>
      </c>
    </row>
    <row r="66" spans="2:15" x14ac:dyDescent="0.3">
      <c r="B66" s="5" t="s">
        <v>16</v>
      </c>
      <c r="C66" s="20">
        <f>SUM(C64:C65)</f>
        <v>897000</v>
      </c>
      <c r="D66" s="20">
        <f t="shared" ref="D66:N66" si="49">SUM(D64:D65)</f>
        <v>975000</v>
      </c>
      <c r="E66" s="20">
        <f t="shared" si="49"/>
        <v>2757000</v>
      </c>
      <c r="F66" s="20">
        <f t="shared" si="49"/>
        <v>1209000</v>
      </c>
      <c r="G66" s="20">
        <f t="shared" si="49"/>
        <v>1209000</v>
      </c>
      <c r="H66" s="20">
        <f t="shared" si="49"/>
        <v>3054000</v>
      </c>
      <c r="I66" s="20">
        <f t="shared" si="49"/>
        <v>1326000</v>
      </c>
      <c r="J66" s="20">
        <f t="shared" si="49"/>
        <v>1326000</v>
      </c>
      <c r="K66" s="20">
        <f t="shared" si="49"/>
        <v>3306000</v>
      </c>
      <c r="L66" s="20">
        <f t="shared" si="49"/>
        <v>1326000</v>
      </c>
      <c r="M66" s="20">
        <f t="shared" si="49"/>
        <v>1326000</v>
      </c>
      <c r="N66" s="20">
        <f t="shared" si="49"/>
        <v>1326000</v>
      </c>
      <c r="O66" s="20">
        <f t="shared" ref="O66" si="50">SUM(O64:O65)</f>
        <v>20037000</v>
      </c>
    </row>
    <row r="67" spans="2:15" x14ac:dyDescent="0.3">
      <c r="B67" s="1"/>
      <c r="C67" s="19"/>
      <c r="D67" s="19"/>
      <c r="E67" s="19"/>
      <c r="F67" s="19"/>
      <c r="G67" s="19"/>
      <c r="H67" s="19"/>
      <c r="I67" s="19"/>
      <c r="J67" s="19"/>
      <c r="K67" s="19"/>
      <c r="L67" s="19"/>
      <c r="M67" s="19"/>
      <c r="N67" s="19"/>
      <c r="O67" s="19"/>
    </row>
    <row r="68" spans="2:15" x14ac:dyDescent="0.3">
      <c r="B68" s="3" t="s">
        <v>119</v>
      </c>
      <c r="C68" s="19"/>
      <c r="D68" s="19"/>
      <c r="E68" s="19"/>
      <c r="F68" s="19"/>
      <c r="G68" s="19"/>
      <c r="H68" s="19"/>
      <c r="I68" s="19"/>
      <c r="J68" s="19"/>
      <c r="K68" s="19"/>
      <c r="L68" s="19"/>
      <c r="M68" s="19"/>
      <c r="N68" s="19"/>
      <c r="O68" s="19"/>
    </row>
    <row r="69" spans="2:15" x14ac:dyDescent="0.3">
      <c r="B69" s="9" t="s">
        <v>120</v>
      </c>
      <c r="C69" s="19">
        <f>83746.52+(83746*0.35)</f>
        <v>113057.62</v>
      </c>
      <c r="D69" s="19"/>
      <c r="E69" s="19">
        <f>C69+(C69*0.2)</f>
        <v>135669.144</v>
      </c>
      <c r="F69" s="19"/>
      <c r="G69" s="19">
        <f>E69+(E69*0.2)</f>
        <v>162802.97279999999</v>
      </c>
      <c r="H69" s="19"/>
      <c r="I69" s="19">
        <f>G69+(G69*0.3)</f>
        <v>211643.86463999999</v>
      </c>
      <c r="J69" s="19"/>
      <c r="K69" s="19">
        <f>I69+(I69*0.2)</f>
        <v>253972.63756799998</v>
      </c>
      <c r="L69" s="19"/>
      <c r="M69" s="19">
        <f>K69+(K69*0.2)</f>
        <v>304767.16508159996</v>
      </c>
      <c r="N69" s="19"/>
      <c r="O69" s="19">
        <f>SUM(C69:N69)</f>
        <v>1181913.4040895998</v>
      </c>
    </row>
    <row r="70" spans="2:15" x14ac:dyDescent="0.3">
      <c r="B70" s="9" t="s">
        <v>142</v>
      </c>
      <c r="C70" s="19"/>
      <c r="D70" s="19"/>
      <c r="E70" s="19">
        <f>70000+50000+75000+340000</f>
        <v>535000</v>
      </c>
      <c r="F70" s="19"/>
      <c r="G70" s="19"/>
      <c r="H70" s="19">
        <f>70000+50000+75000</f>
        <v>195000</v>
      </c>
      <c r="I70" s="19"/>
      <c r="J70" s="19"/>
      <c r="K70" s="19">
        <f>H70*1.3</f>
        <v>253500</v>
      </c>
      <c r="L70" s="19"/>
      <c r="M70" s="19"/>
      <c r="N70" s="19">
        <f>K70</f>
        <v>253500</v>
      </c>
      <c r="O70" s="19">
        <f>SUM(C70:N70)</f>
        <v>1237000</v>
      </c>
    </row>
    <row r="71" spans="2:15" x14ac:dyDescent="0.3">
      <c r="B71" s="9" t="s">
        <v>124</v>
      </c>
      <c r="C71" s="19">
        <v>490360</v>
      </c>
      <c r="D71" s="19">
        <f>C71+(C71*0.2)</f>
        <v>588432</v>
      </c>
      <c r="E71" s="19">
        <f>D71+(D71*0.35)</f>
        <v>794383.2</v>
      </c>
      <c r="F71" s="19">
        <f>E71+(E71*0.2)</f>
        <v>953259.84</v>
      </c>
      <c r="G71" s="19">
        <f>F71+(F71*0.1)</f>
        <v>1048585.824</v>
      </c>
      <c r="H71" s="19">
        <f>G71+(G71*0.1)</f>
        <v>1153444.4064</v>
      </c>
      <c r="I71" s="19">
        <f>H71+(H71*0.1)</f>
        <v>1268788.8470399999</v>
      </c>
      <c r="J71" s="19">
        <f>I71</f>
        <v>1268788.8470399999</v>
      </c>
      <c r="K71" s="19">
        <f>I71</f>
        <v>1268788.8470399999</v>
      </c>
      <c r="L71" s="19">
        <f>I71</f>
        <v>1268788.8470399999</v>
      </c>
      <c r="M71" s="19">
        <f>I71</f>
        <v>1268788.8470399999</v>
      </c>
      <c r="N71" s="19">
        <f>I71</f>
        <v>1268788.8470399999</v>
      </c>
      <c r="O71" s="19">
        <f>SUM(C71:N71)</f>
        <v>12641198.352639997</v>
      </c>
    </row>
    <row r="72" spans="2:15" x14ac:dyDescent="0.3">
      <c r="B72" s="5" t="s">
        <v>16</v>
      </c>
      <c r="C72" s="20">
        <f>SUM(C69:C71)</f>
        <v>603417.62</v>
      </c>
      <c r="D72" s="20">
        <f t="shared" ref="D72:N72" si="51">SUM(D69:D71)</f>
        <v>588432</v>
      </c>
      <c r="E72" s="20">
        <f t="shared" si="51"/>
        <v>1465052.344</v>
      </c>
      <c r="F72" s="20">
        <f t="shared" si="51"/>
        <v>953259.84</v>
      </c>
      <c r="G72" s="20">
        <f t="shared" si="51"/>
        <v>1211388.7968000001</v>
      </c>
      <c r="H72" s="20">
        <f t="shared" si="51"/>
        <v>1348444.4064</v>
      </c>
      <c r="I72" s="20">
        <f t="shared" si="51"/>
        <v>1480432.7116799999</v>
      </c>
      <c r="J72" s="20">
        <f t="shared" si="51"/>
        <v>1268788.8470399999</v>
      </c>
      <c r="K72" s="20">
        <f t="shared" si="51"/>
        <v>1776261.4846079999</v>
      </c>
      <c r="L72" s="20">
        <f t="shared" si="51"/>
        <v>1268788.8470399999</v>
      </c>
      <c r="M72" s="20">
        <f t="shared" si="51"/>
        <v>1573556.0121215999</v>
      </c>
      <c r="N72" s="20">
        <f t="shared" si="51"/>
        <v>1522288.8470399999</v>
      </c>
      <c r="O72" s="20">
        <f t="shared" ref="O72" si="52">SUM(O69:O71)</f>
        <v>15060111.756729597</v>
      </c>
    </row>
    <row r="73" spans="2:15" x14ac:dyDescent="0.3">
      <c r="B73" s="1"/>
      <c r="C73" s="19"/>
      <c r="D73" s="19"/>
      <c r="E73" s="19"/>
      <c r="F73" s="19"/>
      <c r="G73" s="19"/>
      <c r="H73" s="19"/>
      <c r="I73" s="19"/>
      <c r="J73" s="19"/>
      <c r="K73" s="19"/>
      <c r="L73" s="19"/>
      <c r="M73" s="19"/>
      <c r="N73" s="19"/>
      <c r="O73" s="19"/>
    </row>
    <row r="74" spans="2:15" x14ac:dyDescent="0.3">
      <c r="B74" s="3" t="s">
        <v>126</v>
      </c>
      <c r="C74" s="19"/>
      <c r="D74" s="19"/>
      <c r="E74" s="19"/>
      <c r="F74" s="19"/>
      <c r="G74" s="19"/>
      <c r="H74" s="19"/>
      <c r="I74" s="19"/>
      <c r="J74" s="19"/>
      <c r="K74" s="19"/>
      <c r="L74" s="19"/>
      <c r="M74" s="19"/>
      <c r="N74" s="19"/>
      <c r="O74" s="19"/>
    </row>
    <row r="75" spans="2:15" x14ac:dyDescent="0.3">
      <c r="B75" s="9" t="s">
        <v>127</v>
      </c>
      <c r="C75" s="19">
        <v>30000000</v>
      </c>
      <c r="D75" s="19"/>
      <c r="E75" s="19"/>
      <c r="F75" s="19"/>
      <c r="G75" s="19"/>
      <c r="H75" s="19"/>
      <c r="I75" s="19"/>
      <c r="J75" s="19"/>
      <c r="K75" s="19"/>
      <c r="L75" s="19"/>
      <c r="M75" s="19"/>
      <c r="N75" s="19"/>
      <c r="O75" s="19">
        <f t="shared" ref="O75" si="53">SUM(C75:N75)</f>
        <v>30000000</v>
      </c>
    </row>
    <row r="76" spans="2:15" x14ac:dyDescent="0.3">
      <c r="B76" s="5" t="s">
        <v>16</v>
      </c>
      <c r="C76" s="20">
        <f>SUM(C75)</f>
        <v>30000000</v>
      </c>
      <c r="D76" s="20">
        <f t="shared" ref="D76:N76" si="54">SUM(D75)</f>
        <v>0</v>
      </c>
      <c r="E76" s="20">
        <f t="shared" si="54"/>
        <v>0</v>
      </c>
      <c r="F76" s="20">
        <f t="shared" si="54"/>
        <v>0</v>
      </c>
      <c r="G76" s="20">
        <f t="shared" si="54"/>
        <v>0</v>
      </c>
      <c r="H76" s="20">
        <f t="shared" si="54"/>
        <v>0</v>
      </c>
      <c r="I76" s="20">
        <f t="shared" si="54"/>
        <v>0</v>
      </c>
      <c r="J76" s="20">
        <f t="shared" si="54"/>
        <v>0</v>
      </c>
      <c r="K76" s="20">
        <f t="shared" si="54"/>
        <v>0</v>
      </c>
      <c r="L76" s="20">
        <f t="shared" si="54"/>
        <v>0</v>
      </c>
      <c r="M76" s="20">
        <f t="shared" si="54"/>
        <v>0</v>
      </c>
      <c r="N76" s="20">
        <f t="shared" si="54"/>
        <v>0</v>
      </c>
      <c r="O76" s="20">
        <f t="shared" ref="O76" si="55">SUM(O75:O75)</f>
        <v>30000000</v>
      </c>
    </row>
    <row r="77" spans="2:15" x14ac:dyDescent="0.3">
      <c r="B77" s="1"/>
      <c r="C77" s="19"/>
      <c r="D77" s="19"/>
      <c r="E77" s="19"/>
      <c r="F77" s="19"/>
      <c r="G77" s="19"/>
      <c r="H77" s="19"/>
      <c r="I77" s="19"/>
      <c r="J77" s="19"/>
      <c r="K77" s="19"/>
      <c r="L77" s="19"/>
      <c r="M77" s="19"/>
      <c r="N77" s="19"/>
      <c r="O77" s="19"/>
    </row>
    <row r="78" spans="2:15" x14ac:dyDescent="0.3">
      <c r="B78" s="3" t="s">
        <v>129</v>
      </c>
      <c r="C78" s="19"/>
      <c r="D78" s="19"/>
      <c r="E78" s="19"/>
      <c r="F78" s="19"/>
      <c r="G78" s="19"/>
      <c r="H78" s="19"/>
      <c r="I78" s="19"/>
      <c r="J78" s="19"/>
      <c r="K78" s="19"/>
      <c r="L78" s="19"/>
      <c r="M78" s="19"/>
      <c r="N78" s="19"/>
      <c r="O78" s="19"/>
    </row>
    <row r="79" spans="2:15" x14ac:dyDescent="0.3">
      <c r="B79" s="9" t="s">
        <v>149</v>
      </c>
      <c r="C79" s="19"/>
      <c r="D79" s="19"/>
      <c r="E79" s="19"/>
      <c r="F79" s="19"/>
      <c r="G79" s="19"/>
      <c r="H79" s="19"/>
      <c r="I79" s="19"/>
      <c r="J79" s="19"/>
      <c r="K79" s="19"/>
      <c r="L79" s="19">
        <f>3193500+(3193500*0.29)</f>
        <v>4119615</v>
      </c>
      <c r="M79" s="19"/>
      <c r="N79" s="19"/>
      <c r="O79" s="19">
        <f>SUM(I79:N79)</f>
        <v>4119615</v>
      </c>
    </row>
    <row r="80" spans="2:15" x14ac:dyDescent="0.3">
      <c r="B80" s="9" t="s">
        <v>130</v>
      </c>
      <c r="C80" s="19"/>
      <c r="D80" s="19"/>
      <c r="E80" s="19"/>
      <c r="F80" s="19"/>
      <c r="G80" s="19"/>
      <c r="H80" s="19"/>
      <c r="I80" s="19"/>
      <c r="J80" s="19"/>
      <c r="K80" s="19"/>
      <c r="L80" s="19"/>
      <c r="M80" s="19"/>
      <c r="N80" s="19">
        <f>20000000+(20000000*0.29)</f>
        <v>25800000</v>
      </c>
      <c r="O80" s="19">
        <f>SUM(I80:N80)</f>
        <v>25800000</v>
      </c>
    </row>
    <row r="81" spans="1:15" x14ac:dyDescent="0.3">
      <c r="B81" s="5" t="s">
        <v>16</v>
      </c>
      <c r="C81" s="20">
        <f>SUM(C79:C80)</f>
        <v>0</v>
      </c>
      <c r="D81" s="20">
        <f t="shared" ref="D81:N81" si="56">SUM(D79:D80)</f>
        <v>0</v>
      </c>
      <c r="E81" s="20">
        <f t="shared" si="56"/>
        <v>0</v>
      </c>
      <c r="F81" s="20">
        <f t="shared" si="56"/>
        <v>0</v>
      </c>
      <c r="G81" s="20">
        <f t="shared" si="56"/>
        <v>0</v>
      </c>
      <c r="H81" s="20">
        <f t="shared" si="56"/>
        <v>0</v>
      </c>
      <c r="I81" s="20">
        <f t="shared" si="56"/>
        <v>0</v>
      </c>
      <c r="J81" s="20">
        <f t="shared" si="56"/>
        <v>0</v>
      </c>
      <c r="K81" s="20">
        <f t="shared" si="56"/>
        <v>0</v>
      </c>
      <c r="L81" s="20">
        <f t="shared" si="56"/>
        <v>4119615</v>
      </c>
      <c r="M81" s="20">
        <f t="shared" si="56"/>
        <v>0</v>
      </c>
      <c r="N81" s="20">
        <f t="shared" si="56"/>
        <v>25800000</v>
      </c>
      <c r="O81" s="20">
        <f t="shared" ref="O81" si="57">SUM(O79:O80)</f>
        <v>29919615</v>
      </c>
    </row>
    <row r="82" spans="1:15" s="47" customFormat="1" x14ac:dyDescent="0.3">
      <c r="B82" s="48"/>
      <c r="C82" s="49"/>
      <c r="D82" s="49"/>
      <c r="E82" s="49"/>
      <c r="F82" s="49"/>
      <c r="G82" s="49"/>
      <c r="H82" s="49"/>
      <c r="I82" s="49"/>
      <c r="J82" s="49"/>
      <c r="K82" s="49"/>
      <c r="L82" s="49"/>
      <c r="M82" s="49"/>
      <c r="N82" s="50"/>
      <c r="O82" s="49"/>
    </row>
    <row r="83" spans="1:15" x14ac:dyDescent="0.3">
      <c r="B83" s="3" t="s">
        <v>222</v>
      </c>
      <c r="C83" s="19"/>
      <c r="D83" s="19"/>
      <c r="E83" s="19"/>
      <c r="F83" s="19"/>
      <c r="G83" s="19"/>
      <c r="H83" s="19"/>
      <c r="I83" s="19"/>
      <c r="J83" s="19"/>
      <c r="K83" s="19"/>
      <c r="L83" s="19"/>
      <c r="M83" s="19"/>
      <c r="O83" s="19">
        <f>D84+(D84*0.29)</f>
        <v>0</v>
      </c>
    </row>
    <row r="84" spans="1:15" x14ac:dyDescent="0.3">
      <c r="B84" s="9" t="s">
        <v>132</v>
      </c>
      <c r="C84" s="19">
        <f>300000+(300000*0.5)</f>
        <v>450000</v>
      </c>
      <c r="D84" s="19"/>
      <c r="E84" s="19"/>
      <c r="F84" s="19"/>
      <c r="G84" s="19"/>
      <c r="H84" s="19">
        <f>C84+(C84*0.29)</f>
        <v>580500</v>
      </c>
      <c r="I84" s="19"/>
      <c r="J84" s="19"/>
      <c r="K84" s="19"/>
      <c r="L84" s="19"/>
      <c r="M84" s="39"/>
      <c r="N84" s="38"/>
      <c r="O84" s="40">
        <f>SUM(C84:N84)</f>
        <v>1030500</v>
      </c>
    </row>
    <row r="85" spans="1:15" x14ac:dyDescent="0.3">
      <c r="B85" s="1" t="s">
        <v>220</v>
      </c>
      <c r="C85" s="19"/>
      <c r="D85" s="19"/>
      <c r="E85" s="19">
        <v>5000000</v>
      </c>
      <c r="F85" s="19"/>
      <c r="G85" s="19"/>
      <c r="H85" s="19">
        <v>5000000</v>
      </c>
      <c r="I85" s="19"/>
      <c r="J85" s="19"/>
      <c r="K85" s="19">
        <v>5000000</v>
      </c>
      <c r="L85" s="19"/>
      <c r="M85" s="19"/>
      <c r="N85" s="41"/>
      <c r="O85" s="40">
        <f>SUM(C85:N85)</f>
        <v>15000000</v>
      </c>
    </row>
    <row r="86" spans="1:15" s="45" customFormat="1" x14ac:dyDescent="0.3">
      <c r="A86" s="46"/>
      <c r="B86" s="5" t="s">
        <v>16</v>
      </c>
      <c r="C86" s="20">
        <f>SUM(C84:C85)</f>
        <v>450000</v>
      </c>
      <c r="D86" s="20">
        <f t="shared" ref="D86:N86" si="58">SUM(D84:D85)</f>
        <v>0</v>
      </c>
      <c r="E86" s="20">
        <f t="shared" si="58"/>
        <v>5000000</v>
      </c>
      <c r="F86" s="20">
        <f t="shared" si="58"/>
        <v>0</v>
      </c>
      <c r="G86" s="20">
        <f t="shared" si="58"/>
        <v>0</v>
      </c>
      <c r="H86" s="20">
        <f t="shared" si="58"/>
        <v>5580500</v>
      </c>
      <c r="I86" s="20">
        <f t="shared" si="58"/>
        <v>0</v>
      </c>
      <c r="J86" s="20">
        <f t="shared" si="58"/>
        <v>0</v>
      </c>
      <c r="K86" s="20">
        <f t="shared" si="58"/>
        <v>5000000</v>
      </c>
      <c r="L86" s="20">
        <f t="shared" si="58"/>
        <v>0</v>
      </c>
      <c r="M86" s="20">
        <f t="shared" si="58"/>
        <v>0</v>
      </c>
      <c r="N86" s="20">
        <f t="shared" si="58"/>
        <v>0</v>
      </c>
      <c r="O86" s="20">
        <f>SUM(O84:O85)</f>
        <v>16030500</v>
      </c>
    </row>
    <row r="87" spans="1:15" x14ac:dyDescent="0.3">
      <c r="B87" s="3" t="s">
        <v>134</v>
      </c>
      <c r="C87" s="19"/>
      <c r="D87" s="19"/>
      <c r="E87" s="19"/>
      <c r="F87" s="19"/>
      <c r="G87" s="19"/>
      <c r="H87" s="19"/>
      <c r="I87" s="19"/>
      <c r="J87" s="19"/>
      <c r="K87" s="19"/>
      <c r="L87" s="19"/>
      <c r="M87" s="19"/>
      <c r="N87" s="19"/>
      <c r="O87" s="19">
        <f t="shared" ref="O87:O91" si="59">SUM(C87:N87)</f>
        <v>0</v>
      </c>
    </row>
    <row r="88" spans="1:15" x14ac:dyDescent="0.3">
      <c r="B88" s="9" t="s">
        <v>135</v>
      </c>
      <c r="C88" s="19">
        <v>5000000</v>
      </c>
      <c r="D88" s="19">
        <v>5000000</v>
      </c>
      <c r="E88" s="19">
        <v>5000000</v>
      </c>
      <c r="F88" s="19">
        <v>10000000</v>
      </c>
      <c r="G88" s="19">
        <v>10000000</v>
      </c>
      <c r="H88" s="19">
        <v>10000000</v>
      </c>
      <c r="I88" s="19">
        <v>20000000</v>
      </c>
      <c r="J88" s="19">
        <v>20000000</v>
      </c>
      <c r="K88" s="19">
        <v>20000000</v>
      </c>
      <c r="L88" s="19">
        <v>30000000</v>
      </c>
      <c r="M88" s="19">
        <v>30000000</v>
      </c>
      <c r="N88" s="19">
        <v>30000000</v>
      </c>
      <c r="O88" s="19">
        <f t="shared" si="59"/>
        <v>195000000</v>
      </c>
    </row>
    <row r="89" spans="1:15" x14ac:dyDescent="0.3">
      <c r="B89" s="9" t="s">
        <v>150</v>
      </c>
      <c r="C89" s="19">
        <v>1000000</v>
      </c>
      <c r="D89" s="19">
        <v>1000000</v>
      </c>
      <c r="E89" s="19">
        <v>1000000</v>
      </c>
      <c r="F89" s="19">
        <v>5000000</v>
      </c>
      <c r="G89" s="19">
        <v>5000000</v>
      </c>
      <c r="H89" s="19">
        <v>5000000</v>
      </c>
      <c r="I89" s="19">
        <v>10000000</v>
      </c>
      <c r="J89" s="19">
        <v>10000000</v>
      </c>
      <c r="K89" s="19">
        <v>10000000</v>
      </c>
      <c r="L89" s="19">
        <v>15000000</v>
      </c>
      <c r="M89" s="19">
        <v>15000000</v>
      </c>
      <c r="N89" s="19">
        <v>15000000</v>
      </c>
      <c r="O89" s="19">
        <f t="shared" si="59"/>
        <v>93000000</v>
      </c>
    </row>
    <row r="90" spans="1:15" x14ac:dyDescent="0.3">
      <c r="B90" s="9" t="s">
        <v>138</v>
      </c>
      <c r="C90" s="19">
        <v>500000</v>
      </c>
      <c r="D90" s="19">
        <v>500000</v>
      </c>
      <c r="E90" s="19">
        <v>500000</v>
      </c>
      <c r="F90" s="19">
        <v>1000000</v>
      </c>
      <c r="G90" s="19">
        <v>1000000</v>
      </c>
      <c r="H90" s="19">
        <v>1000000</v>
      </c>
      <c r="I90" s="19">
        <v>1500000</v>
      </c>
      <c r="J90" s="28">
        <v>1500000</v>
      </c>
      <c r="K90" s="19">
        <v>1500000</v>
      </c>
      <c r="L90" s="19">
        <v>2000000</v>
      </c>
      <c r="M90" s="19">
        <v>2000000</v>
      </c>
      <c r="N90" s="19">
        <v>2000000</v>
      </c>
      <c r="O90" s="19">
        <f t="shared" si="59"/>
        <v>15000000</v>
      </c>
    </row>
    <row r="91" spans="1:15" x14ac:dyDescent="0.3">
      <c r="B91" s="9" t="s">
        <v>139</v>
      </c>
      <c r="C91" s="19">
        <v>500000</v>
      </c>
      <c r="D91" s="19">
        <v>500000</v>
      </c>
      <c r="E91" s="19">
        <v>500000</v>
      </c>
      <c r="F91" s="19">
        <v>600000</v>
      </c>
      <c r="G91" s="19">
        <v>600000</v>
      </c>
      <c r="H91" s="19">
        <v>600000</v>
      </c>
      <c r="I91" s="19">
        <v>700000</v>
      </c>
      <c r="J91" s="19">
        <v>700000</v>
      </c>
      <c r="K91" s="19">
        <v>700000</v>
      </c>
      <c r="L91" s="19">
        <v>800000</v>
      </c>
      <c r="M91" s="19">
        <v>800000</v>
      </c>
      <c r="N91" s="19">
        <v>800000</v>
      </c>
      <c r="O91" s="19">
        <f t="shared" si="59"/>
        <v>7800000</v>
      </c>
    </row>
    <row r="92" spans="1:15" x14ac:dyDescent="0.3">
      <c r="B92" s="5" t="s">
        <v>16</v>
      </c>
      <c r="C92" s="20">
        <f>SUM(C88:C91)</f>
        <v>7000000</v>
      </c>
      <c r="D92" s="20">
        <f t="shared" ref="D92:N92" si="60">SUM(D88:D91)</f>
        <v>7000000</v>
      </c>
      <c r="E92" s="20">
        <f t="shared" si="60"/>
        <v>7000000</v>
      </c>
      <c r="F92" s="20">
        <f t="shared" si="60"/>
        <v>16600000</v>
      </c>
      <c r="G92" s="20">
        <f t="shared" si="60"/>
        <v>16600000</v>
      </c>
      <c r="H92" s="20">
        <f t="shared" si="60"/>
        <v>16600000</v>
      </c>
      <c r="I92" s="20">
        <f t="shared" si="60"/>
        <v>32200000</v>
      </c>
      <c r="J92" s="20">
        <f t="shared" si="60"/>
        <v>32200000</v>
      </c>
      <c r="K92" s="20">
        <f t="shared" si="60"/>
        <v>32200000</v>
      </c>
      <c r="L92" s="20">
        <f t="shared" si="60"/>
        <v>47800000</v>
      </c>
      <c r="M92" s="20">
        <f t="shared" si="60"/>
        <v>47800000</v>
      </c>
      <c r="N92" s="20">
        <f t="shared" si="60"/>
        <v>47800000</v>
      </c>
      <c r="O92" s="20">
        <f>SUM(O88:O91)</f>
        <v>310800000</v>
      </c>
    </row>
  </sheetData>
  <pageMargins left="0.7" right="0.7" top="0.75" bottom="0.75" header="0.3" footer="0.3"/>
  <pageSetup orientation="portrait" r:id="rId1"/>
  <ignoredErrors>
    <ignoredError sqref="D17"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3:I97"/>
  <sheetViews>
    <sheetView topLeftCell="C72" zoomScale="80" zoomScaleNormal="80" workbookViewId="0">
      <selection activeCell="C94" sqref="C94"/>
    </sheetView>
  </sheetViews>
  <sheetFormatPr defaultRowHeight="14.4" x14ac:dyDescent="0.3"/>
  <cols>
    <col min="3" max="3" width="69.33203125" customWidth="1"/>
    <col min="4" max="4" width="182.33203125" customWidth="1"/>
  </cols>
  <sheetData>
    <row r="3" spans="3:9" x14ac:dyDescent="0.3">
      <c r="C3" t="s">
        <v>209</v>
      </c>
    </row>
    <row r="5" spans="3:9" x14ac:dyDescent="0.3">
      <c r="C5" s="3" t="s">
        <v>33</v>
      </c>
      <c r="D5" s="3" t="s">
        <v>34</v>
      </c>
    </row>
    <row r="6" spans="3:9" x14ac:dyDescent="0.3">
      <c r="C6" s="9" t="s">
        <v>35</v>
      </c>
      <c r="D6" s="9"/>
    </row>
    <row r="7" spans="3:9" x14ac:dyDescent="0.3">
      <c r="C7" s="9" t="s">
        <v>37</v>
      </c>
      <c r="D7" s="9"/>
    </row>
    <row r="8" spans="3:9" x14ac:dyDescent="0.3">
      <c r="C8" s="9" t="s">
        <v>39</v>
      </c>
      <c r="D8" s="9"/>
    </row>
    <row r="9" spans="3:9" x14ac:dyDescent="0.3">
      <c r="C9" s="5" t="s">
        <v>16</v>
      </c>
      <c r="D9" s="5"/>
    </row>
    <row r="10" spans="3:9" x14ac:dyDescent="0.3">
      <c r="C10" s="1"/>
      <c r="D10" s="1"/>
    </row>
    <row r="11" spans="3:9" x14ac:dyDescent="0.3">
      <c r="C11" s="3" t="s">
        <v>41</v>
      </c>
      <c r="D11" s="9"/>
    </row>
    <row r="12" spans="3:9" ht="28.8" x14ac:dyDescent="0.3">
      <c r="C12" s="9" t="s">
        <v>42</v>
      </c>
      <c r="D12" s="25" t="s">
        <v>204</v>
      </c>
    </row>
    <row r="13" spans="3:9" x14ac:dyDescent="0.3">
      <c r="C13" s="9" t="s">
        <v>44</v>
      </c>
      <c r="D13" s="9" t="s">
        <v>205</v>
      </c>
    </row>
    <row r="14" spans="3:9" x14ac:dyDescent="0.3">
      <c r="C14" s="9" t="s">
        <v>46</v>
      </c>
      <c r="D14" s="9" t="s">
        <v>207</v>
      </c>
      <c r="E14" s="19"/>
      <c r="F14" s="19"/>
      <c r="G14" s="19"/>
      <c r="H14" s="19"/>
      <c r="I14" s="19"/>
    </row>
    <row r="15" spans="3:9" x14ac:dyDescent="0.3">
      <c r="C15" s="9" t="s">
        <v>48</v>
      </c>
      <c r="D15" s="9" t="s">
        <v>49</v>
      </c>
    </row>
    <row r="16" spans="3:9" x14ac:dyDescent="0.3">
      <c r="C16" s="9" t="s">
        <v>50</v>
      </c>
      <c r="D16" s="9" t="s">
        <v>208</v>
      </c>
    </row>
    <row r="17" spans="3:4" x14ac:dyDescent="0.3">
      <c r="C17" s="9" t="s">
        <v>52</v>
      </c>
      <c r="D17" s="25" t="s">
        <v>151</v>
      </c>
    </row>
    <row r="18" spans="3:4" x14ac:dyDescent="0.3">
      <c r="C18" s="9" t="s">
        <v>54</v>
      </c>
      <c r="D18" s="9" t="s">
        <v>152</v>
      </c>
    </row>
    <row r="19" spans="3:4" x14ac:dyDescent="0.3">
      <c r="C19" s="9" t="s">
        <v>56</v>
      </c>
      <c r="D19" s="9" t="s">
        <v>153</v>
      </c>
    </row>
    <row r="20" spans="3:4" x14ac:dyDescent="0.3">
      <c r="C20" s="9" t="s">
        <v>60</v>
      </c>
      <c r="D20" s="9" t="s">
        <v>211</v>
      </c>
    </row>
    <row r="21" spans="3:4" x14ac:dyDescent="0.3">
      <c r="C21" s="9" t="s">
        <v>210</v>
      </c>
      <c r="D21" s="9" t="s">
        <v>212</v>
      </c>
    </row>
    <row r="22" spans="3:4" x14ac:dyDescent="0.3">
      <c r="C22" s="9" t="s">
        <v>68</v>
      </c>
      <c r="D22" s="37" t="s">
        <v>154</v>
      </c>
    </row>
    <row r="23" spans="3:4" x14ac:dyDescent="0.3">
      <c r="C23" s="9" t="s">
        <v>70</v>
      </c>
      <c r="D23" s="9" t="s">
        <v>154</v>
      </c>
    </row>
    <row r="24" spans="3:4" x14ac:dyDescent="0.3">
      <c r="C24" s="9" t="s">
        <v>71</v>
      </c>
      <c r="D24" s="9" t="s">
        <v>155</v>
      </c>
    </row>
    <row r="25" spans="3:4" x14ac:dyDescent="0.3">
      <c r="C25" s="9" t="s">
        <v>73</v>
      </c>
      <c r="D25" s="9" t="s">
        <v>156</v>
      </c>
    </row>
    <row r="26" spans="3:4" x14ac:dyDescent="0.3">
      <c r="C26" s="9" t="s">
        <v>140</v>
      </c>
      <c r="D26" s="9" t="s">
        <v>157</v>
      </c>
    </row>
    <row r="27" spans="3:4" x14ac:dyDescent="0.3">
      <c r="C27" s="9" t="s">
        <v>144</v>
      </c>
      <c r="D27" s="9" t="s">
        <v>213</v>
      </c>
    </row>
    <row r="28" spans="3:4" x14ac:dyDescent="0.3">
      <c r="C28" s="5" t="s">
        <v>16</v>
      </c>
      <c r="D28" s="5"/>
    </row>
    <row r="29" spans="3:4" x14ac:dyDescent="0.3">
      <c r="C29" s="1"/>
      <c r="D29" s="1"/>
    </row>
    <row r="30" spans="3:4" x14ac:dyDescent="0.3">
      <c r="C30" s="3" t="s">
        <v>20</v>
      </c>
      <c r="D30" s="3"/>
    </row>
    <row r="31" spans="3:4" x14ac:dyDescent="0.3">
      <c r="C31" s="9" t="s">
        <v>77</v>
      </c>
      <c r="D31" s="9" t="s">
        <v>158</v>
      </c>
    </row>
    <row r="32" spans="3:4" x14ac:dyDescent="0.3">
      <c r="C32" s="9" t="s">
        <v>79</v>
      </c>
      <c r="D32" s="9" t="s">
        <v>215</v>
      </c>
    </row>
    <row r="33" spans="3:4" x14ac:dyDescent="0.3">
      <c r="C33" s="9" t="s">
        <v>81</v>
      </c>
      <c r="D33" s="9" t="s">
        <v>159</v>
      </c>
    </row>
    <row r="34" spans="3:4" x14ac:dyDescent="0.3">
      <c r="C34" s="9" t="s">
        <v>83</v>
      </c>
      <c r="D34" s="9" t="s">
        <v>160</v>
      </c>
    </row>
    <row r="35" spans="3:4" x14ac:dyDescent="0.3">
      <c r="C35" s="5" t="s">
        <v>16</v>
      </c>
      <c r="D35" s="5"/>
    </row>
    <row r="36" spans="3:4" x14ac:dyDescent="0.3">
      <c r="C36" s="1"/>
      <c r="D36" s="1"/>
    </row>
    <row r="37" spans="3:4" x14ac:dyDescent="0.3">
      <c r="C37" s="1"/>
      <c r="D37" s="1"/>
    </row>
    <row r="38" spans="3:4" x14ac:dyDescent="0.3">
      <c r="C38" s="3" t="s">
        <v>85</v>
      </c>
      <c r="D38" s="3"/>
    </row>
    <row r="39" spans="3:4" x14ac:dyDescent="0.3">
      <c r="C39" s="9" t="s">
        <v>86</v>
      </c>
      <c r="D39" s="9" t="s">
        <v>216</v>
      </c>
    </row>
    <row r="40" spans="3:4" x14ac:dyDescent="0.3">
      <c r="C40" s="9" t="s">
        <v>88</v>
      </c>
      <c r="D40" s="9" t="s">
        <v>217</v>
      </c>
    </row>
    <row r="41" spans="3:4" x14ac:dyDescent="0.3">
      <c r="C41" s="9" t="s">
        <v>90</v>
      </c>
      <c r="D41" s="9" t="s">
        <v>218</v>
      </c>
    </row>
    <row r="42" spans="3:4" x14ac:dyDescent="0.3">
      <c r="C42" s="5" t="s">
        <v>16</v>
      </c>
      <c r="D42" s="5"/>
    </row>
    <row r="43" spans="3:4" x14ac:dyDescent="0.3">
      <c r="C43" s="1"/>
      <c r="D43" s="1"/>
    </row>
    <row r="44" spans="3:4" x14ac:dyDescent="0.3">
      <c r="C44" s="1"/>
      <c r="D44" s="1"/>
    </row>
    <row r="45" spans="3:4" x14ac:dyDescent="0.3">
      <c r="C45" s="3" t="s">
        <v>21</v>
      </c>
      <c r="D45" s="3"/>
    </row>
    <row r="46" spans="3:4" x14ac:dyDescent="0.3">
      <c r="C46" s="9" t="s">
        <v>92</v>
      </c>
      <c r="D46" s="9" t="s">
        <v>161</v>
      </c>
    </row>
    <row r="47" spans="3:4" x14ac:dyDescent="0.3">
      <c r="C47" s="9" t="s">
        <v>162</v>
      </c>
      <c r="D47" s="9" t="s">
        <v>163</v>
      </c>
    </row>
    <row r="48" spans="3:4" x14ac:dyDescent="0.3">
      <c r="C48" s="9" t="s">
        <v>141</v>
      </c>
      <c r="D48" s="9" t="s">
        <v>164</v>
      </c>
    </row>
    <row r="49" spans="3:4" x14ac:dyDescent="0.3">
      <c r="C49" s="5" t="s">
        <v>16</v>
      </c>
      <c r="D49" s="5"/>
    </row>
    <row r="50" spans="3:4" x14ac:dyDescent="0.3">
      <c r="C50" s="1"/>
      <c r="D50" s="1"/>
    </row>
    <row r="51" spans="3:4" x14ac:dyDescent="0.3">
      <c r="C51" s="1"/>
      <c r="D51" s="1"/>
    </row>
    <row r="52" spans="3:4" x14ac:dyDescent="0.3">
      <c r="C52" s="3" t="s">
        <v>98</v>
      </c>
      <c r="D52" s="3"/>
    </row>
    <row r="53" spans="3:4" ht="28.8" x14ac:dyDescent="0.3">
      <c r="C53" s="9" t="s">
        <v>99</v>
      </c>
      <c r="D53" s="25" t="s">
        <v>165</v>
      </c>
    </row>
    <row r="54" spans="3:4" x14ac:dyDescent="0.3">
      <c r="C54" s="9" t="s">
        <v>101</v>
      </c>
      <c r="D54" s="9" t="s">
        <v>166</v>
      </c>
    </row>
    <row r="55" spans="3:4" x14ac:dyDescent="0.3">
      <c r="C55" s="9" t="s">
        <v>103</v>
      </c>
      <c r="D55" s="9" t="s">
        <v>167</v>
      </c>
    </row>
    <row r="56" spans="3:4" x14ac:dyDescent="0.3">
      <c r="C56" s="5" t="s">
        <v>16</v>
      </c>
      <c r="D56" s="5"/>
    </row>
    <row r="57" spans="3:4" x14ac:dyDescent="0.3">
      <c r="C57" s="1"/>
      <c r="D57" s="1"/>
    </row>
    <row r="58" spans="3:4" x14ac:dyDescent="0.3">
      <c r="C58" s="1"/>
      <c r="D58" s="1"/>
    </row>
    <row r="59" spans="3:4" x14ac:dyDescent="0.3">
      <c r="C59" s="3" t="s">
        <v>105</v>
      </c>
      <c r="D59" s="3"/>
    </row>
    <row r="60" spans="3:4" x14ac:dyDescent="0.3">
      <c r="C60" s="9" t="s">
        <v>106</v>
      </c>
      <c r="D60" s="9" t="s">
        <v>168</v>
      </c>
    </row>
    <row r="61" spans="3:4" x14ac:dyDescent="0.3">
      <c r="C61" s="5" t="s">
        <v>16</v>
      </c>
      <c r="D61" s="5"/>
    </row>
    <row r="62" spans="3:4" x14ac:dyDescent="0.3">
      <c r="C62" s="1"/>
      <c r="D62" s="1"/>
    </row>
    <row r="63" spans="3:4" x14ac:dyDescent="0.3">
      <c r="C63" s="3" t="s">
        <v>108</v>
      </c>
      <c r="D63" s="3"/>
    </row>
    <row r="64" spans="3:4" x14ac:dyDescent="0.3">
      <c r="C64" s="9" t="s">
        <v>109</v>
      </c>
      <c r="D64" s="9" t="s">
        <v>169</v>
      </c>
    </row>
    <row r="65" spans="3:4" x14ac:dyDescent="0.3">
      <c r="C65" s="9" t="s">
        <v>111</v>
      </c>
      <c r="D65" s="9" t="s">
        <v>170</v>
      </c>
    </row>
    <row r="66" spans="3:4" x14ac:dyDescent="0.3">
      <c r="C66" s="9" t="s">
        <v>146</v>
      </c>
      <c r="D66" s="9" t="s">
        <v>171</v>
      </c>
    </row>
    <row r="67" spans="3:4" x14ac:dyDescent="0.3">
      <c r="C67" s="9" t="s">
        <v>147</v>
      </c>
      <c r="D67" s="9" t="s">
        <v>172</v>
      </c>
    </row>
    <row r="68" spans="3:4" x14ac:dyDescent="0.3">
      <c r="C68" s="5" t="s">
        <v>16</v>
      </c>
      <c r="D68" s="5"/>
    </row>
    <row r="69" spans="3:4" x14ac:dyDescent="0.3">
      <c r="C69" s="1"/>
      <c r="D69" s="1"/>
    </row>
    <row r="70" spans="3:4" x14ac:dyDescent="0.3">
      <c r="C70" s="3" t="s">
        <v>24</v>
      </c>
      <c r="D70" s="3"/>
    </row>
    <row r="71" spans="3:4" x14ac:dyDescent="0.3">
      <c r="C71" s="9" t="s">
        <v>115</v>
      </c>
      <c r="D71" s="9" t="s">
        <v>173</v>
      </c>
    </row>
    <row r="72" spans="3:4" x14ac:dyDescent="0.3">
      <c r="C72" s="9" t="s">
        <v>117</v>
      </c>
      <c r="D72" s="9" t="s">
        <v>174</v>
      </c>
    </row>
    <row r="73" spans="3:4" x14ac:dyDescent="0.3">
      <c r="C73" s="5" t="s">
        <v>16</v>
      </c>
      <c r="D73" s="5"/>
    </row>
    <row r="74" spans="3:4" x14ac:dyDescent="0.3">
      <c r="C74" s="1"/>
      <c r="D74" s="1"/>
    </row>
    <row r="75" spans="3:4" x14ac:dyDescent="0.3">
      <c r="C75" s="3" t="s">
        <v>119</v>
      </c>
      <c r="D75" s="3"/>
    </row>
    <row r="76" spans="3:4" x14ac:dyDescent="0.3">
      <c r="C76" s="9" t="s">
        <v>120</v>
      </c>
      <c r="D76" s="9" t="s">
        <v>175</v>
      </c>
    </row>
    <row r="77" spans="3:4" x14ac:dyDescent="0.3">
      <c r="C77" s="9" t="s">
        <v>122</v>
      </c>
      <c r="D77" s="9" t="s">
        <v>219</v>
      </c>
    </row>
    <row r="78" spans="3:4" x14ac:dyDescent="0.3">
      <c r="C78" s="9" t="s">
        <v>124</v>
      </c>
      <c r="D78" s="9" t="s">
        <v>176</v>
      </c>
    </row>
    <row r="79" spans="3:4" x14ac:dyDescent="0.3">
      <c r="C79" s="5" t="s">
        <v>16</v>
      </c>
      <c r="D79" s="5"/>
    </row>
    <row r="80" spans="3:4" x14ac:dyDescent="0.3">
      <c r="C80" s="1"/>
      <c r="D80" s="1"/>
    </row>
    <row r="81" spans="3:4" x14ac:dyDescent="0.3">
      <c r="C81" s="3" t="s">
        <v>126</v>
      </c>
      <c r="D81" s="3"/>
    </row>
    <row r="82" spans="3:4" x14ac:dyDescent="0.3">
      <c r="C82" s="9" t="s">
        <v>127</v>
      </c>
      <c r="D82" s="9" t="s">
        <v>177</v>
      </c>
    </row>
    <row r="83" spans="3:4" x14ac:dyDescent="0.3">
      <c r="C83" s="5" t="s">
        <v>16</v>
      </c>
      <c r="D83" s="5"/>
    </row>
    <row r="84" spans="3:4" x14ac:dyDescent="0.3">
      <c r="C84" s="1"/>
      <c r="D84" s="1"/>
    </row>
    <row r="85" spans="3:4" x14ac:dyDescent="0.3">
      <c r="C85" s="3" t="s">
        <v>129</v>
      </c>
      <c r="D85" s="3"/>
    </row>
    <row r="86" spans="3:4" x14ac:dyDescent="0.3">
      <c r="C86" s="3" t="s">
        <v>149</v>
      </c>
      <c r="D86" s="9" t="s">
        <v>178</v>
      </c>
    </row>
    <row r="87" spans="3:4" x14ac:dyDescent="0.3">
      <c r="C87" s="9" t="s">
        <v>130</v>
      </c>
      <c r="D87" s="9" t="s">
        <v>179</v>
      </c>
    </row>
    <row r="88" spans="3:4" x14ac:dyDescent="0.3">
      <c r="C88" s="5" t="s">
        <v>16</v>
      </c>
      <c r="D88" s="5"/>
    </row>
    <row r="89" spans="3:4" x14ac:dyDescent="0.3">
      <c r="C89" s="1"/>
      <c r="D89" s="1"/>
    </row>
    <row r="90" spans="3:4" x14ac:dyDescent="0.3">
      <c r="C90" s="32" t="s">
        <v>132</v>
      </c>
      <c r="D90" s="9" t="s">
        <v>180</v>
      </c>
    </row>
    <row r="91" spans="3:4" x14ac:dyDescent="0.3">
      <c r="C91" s="1" t="s">
        <v>220</v>
      </c>
      <c r="D91" s="1" t="s">
        <v>221</v>
      </c>
    </row>
    <row r="92" spans="3:4" x14ac:dyDescent="0.3">
      <c r="C92" s="3" t="s">
        <v>134</v>
      </c>
      <c r="D92" s="9"/>
    </row>
    <row r="93" spans="3:4" x14ac:dyDescent="0.3">
      <c r="C93" s="9" t="s">
        <v>135</v>
      </c>
      <c r="D93" s="9" t="s">
        <v>181</v>
      </c>
    </row>
    <row r="94" spans="3:4" x14ac:dyDescent="0.3">
      <c r="C94" s="9" t="s">
        <v>137</v>
      </c>
      <c r="D94" s="9" t="s">
        <v>182</v>
      </c>
    </row>
    <row r="95" spans="3:4" x14ac:dyDescent="0.3">
      <c r="C95" s="9" t="s">
        <v>138</v>
      </c>
      <c r="D95" s="9" t="s">
        <v>183</v>
      </c>
    </row>
    <row r="96" spans="3:4" x14ac:dyDescent="0.3">
      <c r="C96" s="9" t="s">
        <v>139</v>
      </c>
      <c r="D96" s="9" t="s">
        <v>184</v>
      </c>
    </row>
    <row r="97" spans="3:4" x14ac:dyDescent="0.3">
      <c r="C97" s="43" t="s">
        <v>31</v>
      </c>
      <c r="D97" t="s">
        <v>185</v>
      </c>
    </row>
  </sheetData>
  <phoneticPr fontId="11"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6386-9840-4B62-95A3-D102E6ED13E0}">
  <dimension ref="A3:C16"/>
  <sheetViews>
    <sheetView topLeftCell="A31" workbookViewId="0">
      <selection activeCell="A5" sqref="A5"/>
    </sheetView>
  </sheetViews>
  <sheetFormatPr defaultRowHeight="14.4" x14ac:dyDescent="0.3"/>
  <cols>
    <col min="1" max="1" width="17.88671875" customWidth="1"/>
    <col min="2" max="2" width="17" customWidth="1"/>
    <col min="3" max="3" width="16.6640625" customWidth="1"/>
    <col min="7" max="7" width="20.109375" customWidth="1"/>
  </cols>
  <sheetData>
    <row r="3" spans="1:3" s="7" customFormat="1" x14ac:dyDescent="0.3">
      <c r="A3" s="7" t="s">
        <v>186</v>
      </c>
      <c r="B3" s="7" t="s">
        <v>187</v>
      </c>
      <c r="C3" s="7" t="s">
        <v>188</v>
      </c>
    </row>
    <row r="4" spans="1:3" x14ac:dyDescent="0.3">
      <c r="A4" t="s">
        <v>189</v>
      </c>
      <c r="B4" s="28">
        <v>346818.85</v>
      </c>
      <c r="C4">
        <v>14060.22</v>
      </c>
    </row>
    <row r="5" spans="1:3" x14ac:dyDescent="0.3">
      <c r="A5" t="s">
        <v>190</v>
      </c>
      <c r="B5" s="28">
        <v>603693.01</v>
      </c>
      <c r="C5" s="30">
        <v>28630.799999999999</v>
      </c>
    </row>
    <row r="6" spans="1:3" x14ac:dyDescent="0.3">
      <c r="A6" t="s">
        <v>191</v>
      </c>
      <c r="B6" s="28">
        <v>266175</v>
      </c>
      <c r="C6" s="28">
        <v>10647</v>
      </c>
    </row>
    <row r="7" spans="1:3" x14ac:dyDescent="0.3">
      <c r="A7" t="s">
        <v>192</v>
      </c>
      <c r="B7" s="28">
        <v>346818.85</v>
      </c>
      <c r="C7" s="29">
        <v>14060.22</v>
      </c>
    </row>
    <row r="8" spans="1:3" x14ac:dyDescent="0.3">
      <c r="A8" t="s">
        <v>193</v>
      </c>
      <c r="B8" s="28">
        <v>266175</v>
      </c>
      <c r="C8">
        <v>10647</v>
      </c>
    </row>
    <row r="9" spans="1:3" x14ac:dyDescent="0.3">
      <c r="A9" t="s">
        <v>194</v>
      </c>
      <c r="B9" s="28">
        <v>266175</v>
      </c>
      <c r="C9">
        <v>10647</v>
      </c>
    </row>
    <row r="10" spans="1:3" x14ac:dyDescent="0.3">
      <c r="A10" t="s">
        <v>195</v>
      </c>
      <c r="B10" s="28">
        <v>346818.85</v>
      </c>
      <c r="C10">
        <v>14060.22</v>
      </c>
    </row>
    <row r="11" spans="1:3" x14ac:dyDescent="0.3">
      <c r="A11" t="s">
        <v>196</v>
      </c>
      <c r="B11" s="28">
        <v>266175</v>
      </c>
      <c r="C11" s="29">
        <v>10647</v>
      </c>
    </row>
    <row r="12" spans="1:3" x14ac:dyDescent="0.3">
      <c r="A12" t="s">
        <v>197</v>
      </c>
      <c r="B12" s="28">
        <v>110565</v>
      </c>
    </row>
    <row r="13" spans="1:3" x14ac:dyDescent="0.3">
      <c r="A13" t="s">
        <v>198</v>
      </c>
      <c r="B13" s="28">
        <v>110565</v>
      </c>
    </row>
    <row r="14" spans="1:3" x14ac:dyDescent="0.3">
      <c r="A14" t="s">
        <v>16</v>
      </c>
      <c r="B14" s="28">
        <f>SUM(B4:B13)</f>
        <v>2929979.56</v>
      </c>
      <c r="C14">
        <f>SUM(C4:C13)</f>
        <v>113399.45999999999</v>
      </c>
    </row>
    <row r="15" spans="1:3" x14ac:dyDescent="0.3">
      <c r="C15" s="31">
        <v>313050.32</v>
      </c>
    </row>
    <row r="16" spans="1:3" x14ac:dyDescent="0.3">
      <c r="C16">
        <f>SUM(C14:C15)</f>
        <v>426449.78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9"/>
  <sheetViews>
    <sheetView showGridLines="0" workbookViewId="0">
      <selection activeCell="C3" sqref="C3:M7"/>
    </sheetView>
  </sheetViews>
  <sheetFormatPr defaultRowHeight="14.4" x14ac:dyDescent="0.3"/>
  <cols>
    <col min="2" max="2" width="26.88671875" customWidth="1"/>
    <col min="3" max="3" width="16.5546875" customWidth="1"/>
    <col min="4" max="4" width="13" bestFit="1" customWidth="1"/>
    <col min="5" max="6" width="9.33203125" bestFit="1" customWidth="1"/>
    <col min="7" max="7" width="11.88671875" customWidth="1"/>
    <col min="8" max="8" width="14.6640625" bestFit="1" customWidth="1"/>
    <col min="9" max="9" width="9.33203125" bestFit="1" customWidth="1"/>
    <col min="10" max="10" width="14.6640625" bestFit="1" customWidth="1"/>
    <col min="11" max="13" width="14.33203125" bestFit="1" customWidth="1"/>
    <col min="14" max="14" width="10.5546875" bestFit="1" customWidth="1"/>
    <col min="15" max="15" width="23.5546875" customWidth="1"/>
  </cols>
  <sheetData>
    <row r="2" spans="2:15" x14ac:dyDescent="0.3">
      <c r="B2" s="12" t="s">
        <v>199</v>
      </c>
      <c r="C2" s="4" t="s">
        <v>4</v>
      </c>
      <c r="D2" s="4" t="s">
        <v>5</v>
      </c>
      <c r="E2" s="4" t="s">
        <v>6</v>
      </c>
      <c r="F2" s="4" t="s">
        <v>7</v>
      </c>
      <c r="G2" s="4" t="s">
        <v>8</v>
      </c>
      <c r="H2" s="4" t="s">
        <v>9</v>
      </c>
      <c r="I2" s="4" t="s">
        <v>10</v>
      </c>
      <c r="J2" s="4" t="s">
        <v>11</v>
      </c>
      <c r="K2" s="4" t="s">
        <v>12</v>
      </c>
      <c r="L2" s="4" t="s">
        <v>13</v>
      </c>
      <c r="M2" s="4" t="s">
        <v>14</v>
      </c>
      <c r="N2" s="4" t="s">
        <v>15</v>
      </c>
      <c r="O2" s="13" t="s">
        <v>16</v>
      </c>
    </row>
    <row r="3" spans="2:15" x14ac:dyDescent="0.3">
      <c r="B3" s="2"/>
      <c r="C3" s="1"/>
      <c r="D3" s="1"/>
      <c r="E3" s="1"/>
      <c r="F3" s="1"/>
      <c r="G3" s="1"/>
      <c r="H3" s="1"/>
      <c r="I3" s="1"/>
      <c r="J3" s="1"/>
      <c r="K3" s="1"/>
      <c r="L3" s="1"/>
      <c r="M3" s="1"/>
      <c r="N3" s="1"/>
      <c r="O3" s="17" t="s">
        <v>200</v>
      </c>
    </row>
    <row r="4" spans="2:15" ht="15.6" x14ac:dyDescent="0.3">
      <c r="B4" s="27" t="s">
        <v>201</v>
      </c>
      <c r="C4" s="19"/>
      <c r="D4" s="19"/>
      <c r="E4" s="19"/>
      <c r="F4" s="19"/>
      <c r="G4" s="19"/>
      <c r="H4" s="19"/>
      <c r="I4" s="19"/>
      <c r="J4" s="19"/>
      <c r="K4" s="19"/>
      <c r="L4" s="19"/>
      <c r="M4" s="19"/>
      <c r="N4" s="19"/>
      <c r="O4" s="11">
        <f t="shared" ref="O4:O8" si="0">SUM(C4:N4)</f>
        <v>0</v>
      </c>
    </row>
    <row r="5" spans="2:15" ht="15.6" x14ac:dyDescent="0.3">
      <c r="B5" s="27" t="s">
        <v>202</v>
      </c>
      <c r="C5" s="19"/>
      <c r="D5" s="19"/>
      <c r="E5" s="19"/>
      <c r="F5" s="19"/>
      <c r="G5" s="19"/>
      <c r="H5" s="19"/>
      <c r="I5" s="19"/>
      <c r="J5" s="19"/>
      <c r="K5" s="19"/>
      <c r="L5" s="19"/>
      <c r="M5" s="19"/>
      <c r="N5" s="19"/>
      <c r="O5" s="11">
        <f t="shared" si="0"/>
        <v>0</v>
      </c>
    </row>
    <row r="6" spans="2:15" ht="15.6" x14ac:dyDescent="0.3">
      <c r="B6" s="27" t="s">
        <v>203</v>
      </c>
      <c r="C6" s="19"/>
      <c r="D6" s="19"/>
      <c r="E6" s="19"/>
      <c r="F6" s="19"/>
      <c r="G6" s="19"/>
      <c r="H6" s="19"/>
      <c r="I6" s="19"/>
      <c r="J6" s="19"/>
      <c r="K6" s="19"/>
      <c r="L6" s="19"/>
      <c r="M6" s="19"/>
      <c r="N6" s="19"/>
      <c r="O6" s="11">
        <f t="shared" si="0"/>
        <v>0</v>
      </c>
    </row>
    <row r="7" spans="2:15" ht="15.6" x14ac:dyDescent="0.3">
      <c r="B7" s="27"/>
      <c r="C7" s="19"/>
      <c r="D7" s="19"/>
      <c r="E7" s="19"/>
      <c r="F7" s="19"/>
      <c r="G7" s="19"/>
      <c r="H7" s="19"/>
      <c r="I7" s="19"/>
      <c r="J7" s="19"/>
      <c r="K7" s="19"/>
      <c r="L7" s="19"/>
      <c r="M7" s="19"/>
      <c r="N7" s="19"/>
      <c r="O7" s="11">
        <f t="shared" si="0"/>
        <v>0</v>
      </c>
    </row>
    <row r="8" spans="2:15" ht="15.6" x14ac:dyDescent="0.3">
      <c r="B8" s="10"/>
      <c r="C8" s="19"/>
      <c r="D8" s="19"/>
      <c r="E8" s="19"/>
      <c r="F8" s="19"/>
      <c r="G8" s="19"/>
      <c r="H8" s="19"/>
      <c r="I8" s="19"/>
      <c r="J8" s="19"/>
      <c r="K8" s="19"/>
      <c r="L8" s="19"/>
      <c r="M8" s="19"/>
      <c r="N8" s="19"/>
      <c r="O8" s="11">
        <f t="shared" si="0"/>
        <v>0</v>
      </c>
    </row>
    <row r="9" spans="2:15" x14ac:dyDescent="0.3">
      <c r="B9" s="12" t="s">
        <v>16</v>
      </c>
      <c r="C9" s="26">
        <f t="shared" ref="C9:O9" si="1">SUM(C4:C8)</f>
        <v>0</v>
      </c>
      <c r="D9" s="26">
        <f t="shared" si="1"/>
        <v>0</v>
      </c>
      <c r="E9" s="26">
        <f t="shared" si="1"/>
        <v>0</v>
      </c>
      <c r="F9" s="26">
        <f t="shared" si="1"/>
        <v>0</v>
      </c>
      <c r="G9" s="26">
        <f t="shared" si="1"/>
        <v>0</v>
      </c>
      <c r="H9" s="26">
        <f t="shared" si="1"/>
        <v>0</v>
      </c>
      <c r="I9" s="26">
        <f t="shared" si="1"/>
        <v>0</v>
      </c>
      <c r="J9" s="26">
        <f t="shared" si="1"/>
        <v>0</v>
      </c>
      <c r="K9" s="26">
        <f t="shared" si="1"/>
        <v>0</v>
      </c>
      <c r="L9" s="26">
        <f t="shared" si="1"/>
        <v>0</v>
      </c>
      <c r="M9" s="26">
        <f t="shared" si="1"/>
        <v>0</v>
      </c>
      <c r="N9" s="26">
        <f t="shared" si="1"/>
        <v>0</v>
      </c>
      <c r="O9" s="26">
        <f t="shared" si="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OLD HR AND ADMIN BUDGET</vt:lpstr>
      <vt:lpstr>Comments and Notes (2)Old</vt:lpstr>
      <vt:lpstr>Input Worksheet (2) Old</vt:lpstr>
      <vt:lpstr>HR AND ADMIN BUDGET</vt:lpstr>
      <vt:lpstr>Input Worksheet</vt:lpstr>
      <vt:lpstr>Comments and Notes</vt:lpstr>
      <vt:lpstr>Employer's Pension (New Staff)</vt:lpstr>
      <vt:lpstr>Capital Expenditure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Ayodele Olaniyi</dc:creator>
  <cp:keywords/>
  <dc:description/>
  <cp:lastModifiedBy>Temitope Aribisala</cp:lastModifiedBy>
  <cp:revision/>
  <dcterms:created xsi:type="dcterms:W3CDTF">2023-09-21T19:08:21Z</dcterms:created>
  <dcterms:modified xsi:type="dcterms:W3CDTF">2025-01-23T17:42:26Z</dcterms:modified>
  <cp:category/>
  <cp:contentStatus/>
</cp:coreProperties>
</file>